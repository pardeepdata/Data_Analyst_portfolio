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4.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 sheetId="1" r:id="rId4"/>
    <sheet state="visible" name="Customers" sheetId="2" r:id="rId5"/>
    <sheet state="visible" name="Products" sheetId="3" r:id="rId6"/>
    <sheet state="visible" name="Analysis_Practice" sheetId="4" r:id="rId7"/>
    <sheet state="visible" name="Sales Analysis" sheetId="5" r:id="rId8"/>
  </sheets>
  <definedNames>
    <definedName hidden="1" localSheetId="2" name="Z_D0790B26_20CD_46FA_8034_DE0909A9D8E8_.wvu.FilterData">Products!$A$1:$D$9</definedName>
    <definedName hidden="1" localSheetId="2" name="Z_D0790B26_20CD_46FA_8034_DE0909A9D8E8_.wvu.FilterData">Products!$A$1:$D$9</definedName>
    <definedName hidden="1" localSheetId="1" name="Z_D0790B26_20CD_46FA_8034_DE0909A9D8E8_.wvu.FilterData">Customers!$A$1:$D$21</definedName>
    <definedName hidden="1" localSheetId="1" name="Z_D0790B26_20CD_46FA_8034_DE0909A9D8E8_.wvu.FilterData">Customers!$A$1:$D$21</definedName>
    <definedName hidden="1" localSheetId="0" name="Z_D0790B26_20CD_46FA_8034_DE0909A9D8E8_.wvu.FilterData">Orders!$A$1:$I$101</definedName>
    <definedName hidden="1" localSheetId="0" name="Z_D0790B26_20CD_46FA_8034_DE0909A9D8E8_.wvu.FilterData">Orders!$A$1:$I$101</definedName>
    <definedName name="SlicerCache_Table_2_Col_3">#N/A</definedName>
    <definedName name="SlicerCache_Table_1_Col_2">#N/A</definedName>
    <definedName name="SlicerCache_Table_3_Col_3">#N/A</definedName>
  </definedNames>
  <calcPr/>
  <customWorkbookViews>
    <customWorkbookView activeSheetId="0" maximized="1" windowHeight="0" windowWidth="0" guid="{D0790B26-20CD-46FA-8034-DE0909A9D8E8}" name="Filter 1"/>
  </customWorkbookViews>
  <pivotCaches>
    <pivotCache cacheId="0" r:id="rId9"/>
  </pivotCaches>
  <extLst>
    <ext uri="GoogleSheetsCustomDataVersion2">
      <go:sheetsCustomData xmlns:go="http://customooxmlschemas.google.com/" r:id="rId13" roundtripDataChecksum="SIubPxnn7y8ScBP7z6HPraFfXu3rLznuWLWdJhy8u1I="/>
    </ext>
    <ext uri="{46BE6895-7355-4a93-B00E-2C351335B9C9}">
      <x15:slicerCaches>
        <x14:slicerCache r:id="rId10"/>
        <x14:slicerCache r:id="rId11"/>
        <x14:slicerCache r:id="rId12"/>
      </x15:slicerCaches>
    </ext>
  </extLst>
</workbook>
</file>

<file path=xl/sharedStrings.xml><?xml version="1.0" encoding="utf-8"?>
<sst xmlns="http://schemas.openxmlformats.org/spreadsheetml/2006/main" count="1110" uniqueCount="98">
  <si>
    <t>order_id</t>
  </si>
  <si>
    <t>order_date</t>
  </si>
  <si>
    <t>customer_id</t>
  </si>
  <si>
    <t>product_id</t>
  </si>
  <si>
    <t>quantity</t>
  </si>
  <si>
    <t>sales</t>
  </si>
  <si>
    <t>discount_pct</t>
  </si>
  <si>
    <t>discount_amount</t>
  </si>
  <si>
    <t>net_sales</t>
  </si>
  <si>
    <t>customer_name</t>
  </si>
  <si>
    <t>city</t>
  </si>
  <si>
    <t>customer_segment</t>
  </si>
  <si>
    <t>product_name</t>
  </si>
  <si>
    <t>category</t>
  </si>
  <si>
    <t>unit_price</t>
  </si>
  <si>
    <t>month</t>
  </si>
  <si>
    <t>sales_band</t>
  </si>
  <si>
    <t>P003</t>
  </si>
  <si>
    <t>Marco Bianchi</t>
  </si>
  <si>
    <t>Milan</t>
  </si>
  <si>
    <t>Corporate</t>
  </si>
  <si>
    <t>Keyboard</t>
  </si>
  <si>
    <t>Accessories</t>
  </si>
  <si>
    <t>2026-01</t>
  </si>
  <si>
    <t>Low</t>
  </si>
  <si>
    <t>P004</t>
  </si>
  <si>
    <t>Arjun Mehta</t>
  </si>
  <si>
    <t>Rome</t>
  </si>
  <si>
    <t>Consumer</t>
  </si>
  <si>
    <t>Mouse</t>
  </si>
  <si>
    <t>P008</t>
  </si>
  <si>
    <t>Luca Ferrari</t>
  </si>
  <si>
    <t>Turin</t>
  </si>
  <si>
    <t>Tablet</t>
  </si>
  <si>
    <t>Electronics</t>
  </si>
  <si>
    <t>P006</t>
  </si>
  <si>
    <t>Sofia Romano</t>
  </si>
  <si>
    <t>Printer</t>
  </si>
  <si>
    <t>Office</t>
  </si>
  <si>
    <t>Priya Patel</t>
  </si>
  <si>
    <t>Naples</t>
  </si>
  <si>
    <t>NET_SALES</t>
  </si>
  <si>
    <t>P001</t>
  </si>
  <si>
    <t>Giulia Conti</t>
  </si>
  <si>
    <t>Laptop</t>
  </si>
  <si>
    <t>High</t>
  </si>
  <si>
    <t>P005</t>
  </si>
  <si>
    <t>Headset</t>
  </si>
  <si>
    <t>Customer_name</t>
  </si>
  <si>
    <t>P007</t>
  </si>
  <si>
    <t>Simran Kaur</t>
  </si>
  <si>
    <t>Webcam</t>
  </si>
  <si>
    <t>Customer_id</t>
  </si>
  <si>
    <t>Medium</t>
  </si>
  <si>
    <t>John Miller</t>
  </si>
  <si>
    <t>P002</t>
  </si>
  <si>
    <t>Monitor</t>
  </si>
  <si>
    <t>Sara Khan</t>
  </si>
  <si>
    <t>Raj Kumar</t>
  </si>
  <si>
    <t>Bologna</t>
  </si>
  <si>
    <t>2026-02</t>
  </si>
  <si>
    <t>Neha Sharma</t>
  </si>
  <si>
    <t>Aman Singh</t>
  </si>
  <si>
    <t>Daniel Rossi</t>
  </si>
  <si>
    <t>Alex Brown</t>
  </si>
  <si>
    <t>Harpreet Kaur</t>
  </si>
  <si>
    <t>David Smith</t>
  </si>
  <si>
    <t>Emma Wilson</t>
  </si>
  <si>
    <t>Gurpreet Singh</t>
  </si>
  <si>
    <t>Anita Verma</t>
  </si>
  <si>
    <t>Manpreet Kaur</t>
  </si>
  <si>
    <t>2026-03</t>
  </si>
  <si>
    <t>2026-04</t>
  </si>
  <si>
    <t>2026-05</t>
  </si>
  <si>
    <t>2026-06</t>
  </si>
  <si>
    <t>2026-07</t>
  </si>
  <si>
    <t>2026-08</t>
  </si>
  <si>
    <t xml:space="preserve">                                   "SALES ANALYSIS DASHBOARD-[DATE]"</t>
  </si>
  <si>
    <t>Total Orders</t>
  </si>
  <si>
    <t>Total Sales</t>
  </si>
  <si>
    <t>Net Sales</t>
  </si>
  <si>
    <t>Total Quantity</t>
  </si>
  <si>
    <t>Average Order Value</t>
  </si>
  <si>
    <t>CITY WISE SALES</t>
  </si>
  <si>
    <t>CATEGORY WISE SALES</t>
  </si>
  <si>
    <t>City</t>
  </si>
  <si>
    <t>Category</t>
  </si>
  <si>
    <t xml:space="preserve"> Product Wise Sales</t>
  </si>
  <si>
    <t xml:space="preserve"> MONTH</t>
  </si>
  <si>
    <t>TOTAL SALES</t>
  </si>
  <si>
    <t xml:space="preserve"> Product Name</t>
  </si>
  <si>
    <t xml:space="preserve">Printer </t>
  </si>
  <si>
    <t>CUSTOMER WISE SALES</t>
  </si>
  <si>
    <t>Customer Name</t>
  </si>
  <si>
    <t>Johan Miller</t>
  </si>
  <si>
    <t>SUM of net_sales</t>
  </si>
  <si>
    <t>SUM of NET_SALES</t>
  </si>
  <si>
    <t>Grand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</si>
</sst>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5">
    <font>
      <sz val="11.0"/>
      <color theme="1"/>
      <name val="Calibri"/>
      <scheme val="minor"/>
    </font>
    <font>
      <b/>
      <color theme="1"/>
      <name val="Calibri"/>
      <scheme val="minor"/>
    </font>
    <font>
      <color theme="1"/>
      <name val="Calibri"/>
      <scheme val="minor"/>
    </font>
    <font>
      <sz val="11.0"/>
      <color theme="1"/>
      <name val="Calibri"/>
    </font>
    <font>
      <color rgb="FFFFFFFF"/>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0" fillId="0" fontId="2" numFmtId="0" xfId="0" applyAlignment="1" applyFont="1">
      <alignment readingOrder="0"/>
    </xf>
    <xf borderId="1" fillId="0" fontId="1" numFmtId="0" xfId="0" applyAlignment="1" applyBorder="1" applyFont="1">
      <alignment horizontal="center" readingOrder="0" vertical="top"/>
    </xf>
    <xf borderId="0" fillId="0" fontId="4" numFmtId="0" xfId="0" applyAlignment="1" applyFont="1">
      <alignment readingOrder="0"/>
    </xf>
    <xf borderId="0" fillId="0" fontId="2" numFmtId="165" xfId="0" applyAlignment="1" applyFont="1" applyNumberFormat="1">
      <alignment readingOrder="0"/>
    </xf>
    <xf borderId="0" fillId="0" fontId="2" numFmtId="164" xfId="0" applyFont="1" applyNumberFormat="1"/>
  </cellXfs>
  <cellStyles count="1">
    <cellStyle xfId="0" name="Normal" builtinId="0"/>
  </cellStyles>
  <dxfs count="5">
    <dxf>
      <font/>
      <fill>
        <patternFill patternType="none"/>
      </fill>
      <border/>
    </dxf>
    <dxf>
      <font/>
      <fill>
        <patternFill patternType="solid">
          <fgColor rgb="FFCCCCCC"/>
          <bgColor rgb="FFCCCCCC"/>
        </patternFill>
      </fill>
      <border/>
    </dxf>
    <dxf>
      <font/>
      <fill>
        <patternFill patternType="solid">
          <fgColor rgb="FFFFFF00"/>
          <bgColor rgb="FFFFFF00"/>
        </patternFill>
      </fill>
      <border/>
    </dxf>
    <dxf>
      <font/>
      <fill>
        <patternFill patternType="solid">
          <fgColor rgb="FF6FA8DC"/>
          <bgColor rgb="FF6FA8DC"/>
        </patternFill>
      </fill>
      <border/>
    </dxf>
    <dxf>
      <font/>
      <fill>
        <patternFill patternType="solid">
          <fgColor rgb="FFA4C2F4"/>
          <bgColor rgb="FFA4C2F4"/>
        </patternFill>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2.xml"/><Relationship Id="rId10" Type="http://schemas.microsoft.com/office/2007/relationships/slicerCache" Target="slicerCaches/slicerCache1.xml"/><Relationship Id="rId13" Type="http://customschemas.google.com/relationships/workbookmetadata" Target="metadata"/><Relationship Id="rId12" Type="http://schemas.microsoft.com/office/2007/relationships/slicerCache" Target="slicerCaches/slicerCache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Sales vs City</a:t>
            </a:r>
          </a:p>
        </c:rich>
      </c:tx>
      <c:overlay val="0"/>
    </c:title>
    <c:plotArea>
      <c:layout/>
      <c:barChart>
        <c:barDir val="col"/>
        <c:ser>
          <c:idx val="0"/>
          <c:order val="0"/>
          <c:tx>
            <c:strRef>
              <c:f>'Sales Analysis'!$B$7:$B$8</c:f>
            </c:strRef>
          </c:tx>
          <c:spPr>
            <a:solidFill>
              <a:srgbClr val="0000FF"/>
            </a:solidFill>
            <a:ln cmpd="sng">
              <a:noFill/>
            </a:ln>
          </c:spPr>
          <c:cat>
            <c:strRef>
              <c:f>'Sales Analysis'!$A$9:$A$13</c:f>
            </c:strRef>
          </c:cat>
          <c:val>
            <c:numRef>
              <c:f>'Sales Analysis'!$B$9:$B$13</c:f>
              <c:numCache/>
            </c:numRef>
          </c:val>
        </c:ser>
        <c:axId val="1883676984"/>
        <c:axId val="166562691"/>
      </c:barChart>
      <c:catAx>
        <c:axId val="18836769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City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6562691"/>
      </c:catAx>
      <c:valAx>
        <c:axId val="166562691"/>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367698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'Sales Analysis'!$C$15</c:f>
            </c:strRef>
          </c:tx>
          <c:spPr>
            <a:solidFill>
              <a:schemeClr val="accent1"/>
            </a:solidFill>
            <a:ln cmpd="sng">
              <a:noFill/>
            </a:ln>
          </c:spPr>
          <c:val>
            <c:numRef>
              <c:f>'Sales Analysis'!$C$16:$C$18</c:f>
              <c:numCache/>
            </c:numRef>
          </c:val>
        </c:ser>
        <c:ser>
          <c:idx val="1"/>
          <c:order val="1"/>
          <c:tx>
            <c:strRef>
              <c:f>'Sales Analysis'!$D$15</c:f>
            </c:strRef>
          </c:tx>
          <c:spPr>
            <a:solidFill>
              <a:schemeClr val="accent2"/>
            </a:solidFill>
            <a:ln cmpd="sng">
              <a:noFill/>
            </a:ln>
          </c:spPr>
          <c:val>
            <c:numRef>
              <c:f>'Sales Analysis'!$D$16:$D$18</c:f>
              <c:numCache/>
            </c:numRef>
          </c:val>
        </c:ser>
        <c:axId val="799969820"/>
        <c:axId val="1748386903"/>
      </c:barChart>
      <c:catAx>
        <c:axId val="7999698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48386903"/>
      </c:catAx>
      <c:valAx>
        <c:axId val="174838690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9969820"/>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47625</xdr:colOff>
      <xdr:row>17</xdr:row>
      <xdr:rowOff>161925</xdr:rowOff>
    </xdr:from>
    <xdr:ext cx="1895475" cy="2857500"/>
    <mc:AlternateContent>
      <mc:Choice Requires="sle15">
        <xdr:graphicFrame>
          <xdr:nvGraphicFramePr>
            <xdr:cNvPr id="1" name="order_date_1"/>
            <xdr:cNvGraphicFramePr/>
          </xdr:nvGraphicFramePr>
          <xdr:xfrm>
            <a:off x="0" y="0"/>
            <a:ext cx="0" cy="0"/>
          </xdr:xfrm>
          <a:graphic>
            <a:graphicData uri="http://schemas.microsoft.com/office/drawing/2010/slicer">
              <x3Unk:slicer name="order_da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295275</xdr:colOff>
      <xdr:row>18</xdr:row>
      <xdr:rowOff>66675</xdr:rowOff>
    </xdr:from>
    <xdr:ext cx="1524000" cy="2857500"/>
    <mc:AlternateContent>
      <mc:Choice Requires="sle15">
        <xdr:graphicFrame>
          <xdr:nvGraphicFramePr>
            <xdr:cNvPr id="2" name="city_2"/>
            <xdr:cNvGraphicFramePr/>
          </xdr:nvGraphicFramePr>
          <xdr:xfrm>
            <a:off x="0" y="0"/>
            <a:ext cx="0" cy="0"/>
          </xdr:xfrm>
          <a:graphic>
            <a:graphicData uri="http://schemas.microsoft.com/office/drawing/2010/slicer">
              <x3Unk:slicer name="cit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8</xdr:row>
      <xdr:rowOff>152400</xdr:rowOff>
    </xdr:from>
    <xdr:ext cx="1524000" cy="2857500"/>
    <mc:AlternateContent>
      <mc:Choice Requires="sle15">
        <xdr:graphicFrame>
          <xdr:nvGraphicFramePr>
            <xdr:cNvPr id="3" name="category_3"/>
            <xdr:cNvGraphicFramePr/>
          </xdr:nvGraphicFramePr>
          <xdr:xfrm>
            <a:off x="0" y="0"/>
            <a:ext cx="0" cy="0"/>
          </xdr:xfrm>
          <a:graphic>
            <a:graphicData uri="http://schemas.microsoft.com/office/drawing/2010/slicer">
              <x3Unk:slicer name="catego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0</xdr:row>
      <xdr:rowOff>9525</xdr:rowOff>
    </xdr:from>
    <xdr:ext cx="3181350" cy="2438400"/>
    <xdr:graphicFrame>
      <xdr:nvGraphicFramePr>
        <xdr:cNvPr id="120795442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19050</xdr:colOff>
      <xdr:row>13</xdr:row>
      <xdr:rowOff>171450</xdr:rowOff>
    </xdr:from>
    <xdr:ext cx="3181350" cy="2705100"/>
    <xdr:graphicFrame>
      <xdr:nvGraphicFramePr>
        <xdr:cNvPr id="137063291"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314325</xdr:colOff>
      <xdr:row>0</xdr:row>
      <xdr:rowOff>47625</xdr:rowOff>
    </xdr:from>
    <xdr:ext cx="1962150" cy="2857500"/>
    <mc:AlternateContent>
      <mc:Choice Requires="sle15">
        <xdr:graphicFrame>
          <xdr:nvGraphicFramePr>
            <xdr:cNvPr id="4" name="order_date_4"/>
            <xdr:cNvGraphicFramePr/>
          </xdr:nvGraphicFramePr>
          <xdr:xfrm>
            <a:off x="0" y="0"/>
            <a:ext cx="0" cy="0"/>
          </xdr:xfrm>
          <a:graphic>
            <a:graphicData uri="http://schemas.microsoft.com/office/drawing/2010/slicer">
              <x3Unk:slicer name="order_dat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361950</xdr:colOff>
      <xdr:row>5</xdr:row>
      <xdr:rowOff>66675</xdr:rowOff>
    </xdr:from>
    <xdr:ext cx="1524000" cy="2857500"/>
    <mc:AlternateContent>
      <mc:Choice Requires="sle15">
        <xdr:graphicFrame>
          <xdr:nvGraphicFramePr>
            <xdr:cNvPr id="5" name="city_5"/>
            <xdr:cNvGraphicFramePr/>
          </xdr:nvGraphicFramePr>
          <xdr:xfrm>
            <a:off x="0" y="0"/>
            <a:ext cx="0" cy="0"/>
          </xdr:xfrm>
          <a:graphic>
            <a:graphicData uri="http://schemas.microsoft.com/office/drawing/2010/slicer">
              <x3Unk:slicer name="city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314325</xdr:colOff>
      <xdr:row>11</xdr:row>
      <xdr:rowOff>9525</xdr:rowOff>
    </xdr:from>
    <xdr:ext cx="1962150" cy="2857500"/>
    <mc:AlternateContent>
      <mc:Choice Requires="sle15">
        <xdr:graphicFrame>
          <xdr:nvGraphicFramePr>
            <xdr:cNvPr id="6" name="category_6"/>
            <xdr:cNvGraphicFramePr/>
          </xdr:nvGraphicFramePr>
          <xdr:xfrm>
            <a:off x="0" y="0"/>
            <a:ext cx="0" cy="0"/>
          </xdr:xfrm>
          <a:graphic>
            <a:graphicData uri="http://schemas.microsoft.com/office/drawing/2010/slicer">
              <x3Unk:slicer name="category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9" sheet="Products"/>
  </cacheSource>
  <cacheFields>
    <cacheField name="product_id" numFmtId="0">
      <sharedItems>
        <s v="P001"/>
        <s v="P002"/>
        <s v="P003"/>
        <s v="P004"/>
        <s v="P005"/>
        <s v="P006"/>
        <s v="P007"/>
        <s v="P008"/>
      </sharedItems>
    </cacheField>
    <cacheField name="product_name" numFmtId="0">
      <sharedItems>
        <s v="Laptop"/>
        <s v="Monitor"/>
        <s v="Keyboard"/>
        <s v="Mouse"/>
        <s v="Headset"/>
        <s v="Printer"/>
        <s v="Webcam"/>
        <s v="Tablet"/>
      </sharedItems>
    </cacheField>
    <cacheField name="category" numFmtId="0">
      <sharedItems>
        <s v="Electronics"/>
        <s v="Accessories"/>
        <s v="Office"/>
      </sharedItems>
    </cacheField>
    <cacheField name="unit_price" numFmtId="0">
      <sharedItems containsSemiMixedTypes="0" containsString="0" containsNumber="1" containsInteger="1">
        <n v="850.0"/>
        <n v="320.0"/>
        <n v="55.0"/>
        <n v="25.0"/>
        <n v="75.0"/>
        <n v="280.0"/>
        <n v="95.0"/>
        <n v="500.0"/>
      </sharedItems>
    </cacheField>
    <cacheField name="NET_SALES" numFmtId="0">
      <sharedItems containsSemiMixedTypes="0" containsString="0" containsNumber="1">
        <n v="3230.0"/>
        <n v="320.0"/>
        <n v="52.25"/>
        <n v="100.0"/>
        <n v="213.75"/>
        <n v="252.0"/>
        <n v="95.0"/>
        <n v="5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 Analysis 2" cacheId="0" dataCaption="" compact="0" compactData="0">
  <location ref="G30:H39" firstHeaderRow="0" firstDataRow="1" firstDataCol="0"/>
  <pivotFields>
    <pivotField name="product_id" compact="0" outline="0" multipleItemSelectionAllowed="1" showAll="0">
      <items>
        <item x="0"/>
        <item x="1"/>
        <item x="2"/>
        <item x="3"/>
        <item x="4"/>
        <item x="5"/>
        <item x="6"/>
        <item x="7"/>
        <item t="default"/>
      </items>
    </pivotField>
    <pivotField name="product_name" axis="axisRow" compact="0" outline="0" multipleItemSelectionAllowed="1" showAll="0" sortType="descending">
      <items>
        <item x="6"/>
        <item x="7"/>
        <item x="5"/>
        <item x="3"/>
        <item x="1"/>
        <item x="0"/>
        <item x="2"/>
        <item x="4"/>
        <item t="default"/>
      </items>
    </pivotField>
    <pivotField name="category" compact="0" outline="0" multipleItemSelectionAllowed="1" showAll="0">
      <items>
        <item x="0"/>
        <item x="1"/>
        <item x="2"/>
        <item t="default"/>
      </items>
    </pivotField>
    <pivotField name="unit_price" compact="0" outline="0" multipleItemSelectionAllowed="1" showAll="0">
      <items>
        <item x="0"/>
        <item x="1"/>
        <item x="2"/>
        <item x="3"/>
        <item x="4"/>
        <item x="5"/>
        <item x="6"/>
        <item x="7"/>
        <item t="default"/>
      </items>
    </pivotField>
    <pivotField name="NET_SALES" dataField="1" compact="0" outline="0" multipleItemSelectionAllowed="1" showAll="0">
      <items>
        <item x="0"/>
        <item x="1"/>
        <item x="2"/>
        <item x="3"/>
        <item x="4"/>
        <item x="5"/>
        <item x="6"/>
        <item x="7"/>
        <item t="default"/>
      </items>
    </pivotField>
  </pivotFields>
  <rowFields>
    <field x="1"/>
  </rowFields>
  <dataFields>
    <dataField name="SUM of NET_SALES"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3" sourceName="category">
  <x14:extLst>
    <ext uri="{2F2917AC-EB37-4324-AD4E-5DD8C200BD13}">
      <x15:tableSlicerCache tableId="2"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order_date">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3" sourceName="city">
  <x14:extLst>
    <ext uri="{2F2917AC-EB37-4324-AD4E-5DD8C200BD13}">
      <x15:tableSlicerCache tableId="3"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order_date_1" cache="SlicerCache_Table_1_Col_2" caption="order_dat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ity_2" cache="SlicerCache_Table_3_Col_3" caption="city"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3" cache="SlicerCache_Table_2_Col_3" caption="category" rowHeight="247650"/>
</x14:slicers>
</file>

<file path=xl/slicers/slicer4.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order_date_4" cache="SlicerCache_Table_1_Col_2" caption="order_date" rowHeight="247650"/>
  <x14:slicer name="city_5" cache="SlicerCache_Table_3_Col_3" caption="city" rowHeight="247650"/>
  <x14:slicer name="category_6" cache="SlicerCache_Table_2_Col_3" caption="category" rowHeight="247650"/>
</x14:slicers>
</file>

<file path=xl/tables/table1.xml><?xml version="1.0" encoding="utf-8"?>
<table xmlns="http://schemas.openxmlformats.org/spreadsheetml/2006/main" ref="A1:I101" displayName="Table_2" name="Table_2" id="1">
  <autoFilter ref="$A$1:$I$101"/>
  <tableColumns count="9">
    <tableColumn name="order_id" id="1"/>
    <tableColumn name="order_date" id="2"/>
    <tableColumn name="customer_id" id="3"/>
    <tableColumn name="product_id" id="4"/>
    <tableColumn name="quantity" id="5"/>
    <tableColumn name="sales" id="6"/>
    <tableColumn name="discount_pct" id="7"/>
    <tableColumn name="discount_amount" id="8"/>
    <tableColumn name="net_sales" id="9"/>
  </tableColumns>
  <tableStyleInfo showColumnStripes="0" showFirstColumn="0" showLastColumn="0" showRowStripes="0"/>
</table>
</file>

<file path=xl/tables/table2.xml><?xml version="1.0" encoding="utf-8"?>
<table xmlns="http://schemas.openxmlformats.org/spreadsheetml/2006/main" ref="A1:D21" displayName="Table_3" name="Table_3" id="3">
  <autoFilter ref="$A$1:$D$21"/>
  <tableColumns count="4">
    <tableColumn name="Customer_id" id="1"/>
    <tableColumn name="customer_name" id="2"/>
    <tableColumn name="city" id="3"/>
    <tableColumn name="customer_segment" id="4"/>
  </tableColumns>
  <tableStyleInfo showColumnStripes="0" showFirstColumn="0" showLastColumn="0" showRowStripes="0"/>
</table>
</file>

<file path=xl/tables/table3.xml><?xml version="1.0" encoding="utf-8"?>
<table xmlns="http://schemas.openxmlformats.org/spreadsheetml/2006/main" ref="A1:D9" displayName="Table_1" name="Table_1" id="2">
  <autoFilter ref="$A$1:$D$9"/>
  <tableColumns count="4">
    <tableColumn name="product_id" id="1"/>
    <tableColumn name="product_name" id="2"/>
    <tableColumn name="category" id="3"/>
    <tableColumn name="unit_price"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 Id="rId3"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4" t="s">
        <v>48</v>
      </c>
    </row>
    <row r="2">
      <c r="A2" s="2">
        <v>50001.0</v>
      </c>
      <c r="B2" s="3">
        <v>46027.0</v>
      </c>
      <c r="C2" s="2">
        <v>1007.0</v>
      </c>
      <c r="D2" s="2" t="s">
        <v>17</v>
      </c>
      <c r="E2" s="2">
        <v>1.0</v>
      </c>
      <c r="F2" s="2">
        <v>55.0</v>
      </c>
      <c r="G2" s="2">
        <v>5.0</v>
      </c>
      <c r="H2" s="2">
        <v>2.75</v>
      </c>
      <c r="I2" s="2">
        <v>52.25</v>
      </c>
      <c r="J2" s="2" t="str">
        <f t="array" ref="J2">_xlfn.XLOOKUP(C2,Customers!A:A,Customers!B:B)</f>
        <v>Marco Bianchi</v>
      </c>
    </row>
    <row r="3">
      <c r="A3" s="2">
        <v>50002.0</v>
      </c>
      <c r="B3" s="3">
        <v>46029.0</v>
      </c>
      <c r="C3" s="2">
        <v>1020.0</v>
      </c>
      <c r="D3" s="2" t="s">
        <v>25</v>
      </c>
      <c r="E3" s="2">
        <v>4.0</v>
      </c>
      <c r="F3" s="2">
        <v>100.0</v>
      </c>
      <c r="G3" s="2">
        <v>0.0</v>
      </c>
      <c r="H3" s="2">
        <v>0.0</v>
      </c>
      <c r="I3" s="2">
        <v>100.0</v>
      </c>
      <c r="J3" s="2" t="str">
        <f t="array" ref="J3">_xlfn.XLOOKUP(C3,Customers!A:A,Customers!B:B)</f>
        <v>Arjun Mehta</v>
      </c>
    </row>
    <row r="4">
      <c r="A4" s="2">
        <v>50003.0</v>
      </c>
      <c r="B4" s="3">
        <v>46031.0</v>
      </c>
      <c r="C4" s="2">
        <v>1015.0</v>
      </c>
      <c r="D4" s="2" t="s">
        <v>30</v>
      </c>
      <c r="E4" s="2">
        <v>1.0</v>
      </c>
      <c r="F4" s="2">
        <v>500.0</v>
      </c>
      <c r="G4" s="2">
        <v>0.0</v>
      </c>
      <c r="H4" s="2">
        <v>0.0</v>
      </c>
      <c r="I4" s="2">
        <v>500.0</v>
      </c>
      <c r="J4" s="2" t="str">
        <f t="array" ref="J4">_xlfn.XLOOKUP(C4,Customers!A:A,Customers!B:B)</f>
        <v>Luca Ferrari</v>
      </c>
    </row>
    <row r="5">
      <c r="A5" s="2">
        <v>50004.0</v>
      </c>
      <c r="B5" s="3">
        <v>46033.0</v>
      </c>
      <c r="C5" s="2">
        <v>1011.0</v>
      </c>
      <c r="D5" s="2" t="s">
        <v>35</v>
      </c>
      <c r="E5" s="2">
        <v>1.0</v>
      </c>
      <c r="F5" s="2">
        <v>280.0</v>
      </c>
      <c r="G5" s="2">
        <v>10.0</v>
      </c>
      <c r="H5" s="2">
        <v>28.0</v>
      </c>
      <c r="I5" s="2">
        <v>252.0</v>
      </c>
      <c r="J5" s="2" t="str">
        <f t="array" ref="J5">_xlfn.XLOOKUP(C5,Customers!A:A,Customers!B:B)</f>
        <v>Sofia Romano</v>
      </c>
    </row>
    <row r="6">
      <c r="A6" s="2">
        <v>50005.0</v>
      </c>
      <c r="B6" s="3">
        <v>46035.0</v>
      </c>
      <c r="C6" s="2">
        <v>1008.0</v>
      </c>
      <c r="D6" s="2" t="s">
        <v>17</v>
      </c>
      <c r="E6" s="2">
        <v>2.0</v>
      </c>
      <c r="F6" s="2">
        <v>110.0</v>
      </c>
      <c r="G6" s="2">
        <v>10.0</v>
      </c>
      <c r="H6" s="2">
        <v>11.0</v>
      </c>
      <c r="I6" s="2">
        <v>99.0</v>
      </c>
      <c r="J6" s="2" t="str">
        <f t="array" ref="J6">_xlfn.XLOOKUP(C6,Customers!A:A,Customers!B:B)</f>
        <v>Priya Patel</v>
      </c>
    </row>
    <row r="7">
      <c r="A7" s="2">
        <v>50006.0</v>
      </c>
      <c r="B7" s="3">
        <v>46037.0</v>
      </c>
      <c r="C7" s="2">
        <v>1007.0</v>
      </c>
      <c r="D7" s="2" t="s">
        <v>17</v>
      </c>
      <c r="E7" s="2">
        <v>4.0</v>
      </c>
      <c r="F7" s="2">
        <v>220.0</v>
      </c>
      <c r="G7" s="2">
        <v>0.0</v>
      </c>
      <c r="H7" s="2">
        <v>0.0</v>
      </c>
      <c r="I7" s="2">
        <v>220.0</v>
      </c>
      <c r="J7" s="2" t="str">
        <f t="array" ref="J7">_xlfn.XLOOKUP(C7,Customers!A:A,Customers!B:B)</f>
        <v>Marco Bianchi</v>
      </c>
    </row>
    <row r="8">
      <c r="A8" s="2">
        <v>50007.0</v>
      </c>
      <c r="B8" s="3">
        <v>46040.0</v>
      </c>
      <c r="C8" s="2">
        <v>1019.0</v>
      </c>
      <c r="D8" s="2" t="s">
        <v>42</v>
      </c>
      <c r="E8" s="2">
        <v>4.0</v>
      </c>
      <c r="F8" s="2">
        <v>3400.0</v>
      </c>
      <c r="G8" s="2">
        <v>5.0</v>
      </c>
      <c r="H8" s="2">
        <v>170.0</v>
      </c>
      <c r="I8" s="2">
        <v>3230.0</v>
      </c>
      <c r="J8" s="2" t="str">
        <f t="array" ref="J8">_xlfn.XLOOKUP(C8,Customers!A:A,Customers!B:B)</f>
        <v>Giulia Conti</v>
      </c>
    </row>
    <row r="9">
      <c r="A9" s="2">
        <v>50008.0</v>
      </c>
      <c r="B9" s="3">
        <v>46042.0</v>
      </c>
      <c r="C9" s="2">
        <v>1011.0</v>
      </c>
      <c r="D9" s="2" t="s">
        <v>17</v>
      </c>
      <c r="E9" s="2">
        <v>2.0</v>
      </c>
      <c r="F9" s="2">
        <v>110.0</v>
      </c>
      <c r="H9" s="2">
        <v>0.0</v>
      </c>
      <c r="I9" s="2">
        <v>110.0</v>
      </c>
      <c r="J9" s="2" t="str">
        <f t="array" ref="J9">_xlfn.XLOOKUP(C9,Customers!A:A,Customers!B:B)</f>
        <v>Sofia Romano</v>
      </c>
    </row>
    <row r="10">
      <c r="A10" s="2">
        <v>50009.0</v>
      </c>
      <c r="B10" s="3">
        <v>46044.0</v>
      </c>
      <c r="C10" s="2">
        <v>1011.0</v>
      </c>
      <c r="D10" s="2" t="s">
        <v>46</v>
      </c>
      <c r="E10" s="2">
        <v>3.0</v>
      </c>
      <c r="F10" s="2">
        <v>225.0</v>
      </c>
      <c r="G10" s="2">
        <v>5.0</v>
      </c>
      <c r="H10" s="2">
        <v>11.25</v>
      </c>
      <c r="I10" s="2">
        <v>213.75</v>
      </c>
      <c r="J10" s="2" t="str">
        <f t="array" ref="J10">_xlfn.XLOOKUP(C10,Customers!A:A,Customers!B:B)</f>
        <v>Sofia Romano</v>
      </c>
    </row>
    <row r="11">
      <c r="A11" s="2">
        <v>50010.0</v>
      </c>
      <c r="B11" s="3">
        <v>46046.0</v>
      </c>
      <c r="C11" s="2">
        <v>1004.0</v>
      </c>
      <c r="D11" s="2" t="s">
        <v>49</v>
      </c>
      <c r="E11" s="2">
        <v>1.0</v>
      </c>
      <c r="F11" s="2">
        <v>95.0</v>
      </c>
      <c r="G11" s="2">
        <v>0.0</v>
      </c>
      <c r="H11" s="2">
        <v>0.0</v>
      </c>
      <c r="I11" s="2">
        <v>95.0</v>
      </c>
      <c r="J11" s="2" t="str">
        <f t="array" ref="J11">_xlfn.XLOOKUP(C11,Customers!A:A,Customers!B:B)</f>
        <v>Simran Kaur</v>
      </c>
    </row>
    <row r="12">
      <c r="A12" s="2">
        <v>50011.0</v>
      </c>
      <c r="B12" s="3">
        <v>46048.0</v>
      </c>
      <c r="C12" s="2">
        <v>1008.0</v>
      </c>
      <c r="D12" s="2" t="s">
        <v>35</v>
      </c>
      <c r="E12" s="2">
        <v>5.0</v>
      </c>
      <c r="F12" s="2">
        <v>1400.0</v>
      </c>
      <c r="G12" s="2">
        <v>5.0</v>
      </c>
      <c r="H12" s="2">
        <v>70.0</v>
      </c>
      <c r="I12" s="2">
        <v>1330.0</v>
      </c>
      <c r="J12" s="2" t="str">
        <f t="array" ref="J12">_xlfn.XLOOKUP(C12,Customers!A:A,Customers!B:B)</f>
        <v>Priya Patel</v>
      </c>
    </row>
    <row r="13">
      <c r="A13" s="2">
        <v>50012.0</v>
      </c>
      <c r="B13" s="3">
        <v>46051.0</v>
      </c>
      <c r="C13" s="2">
        <v>1003.0</v>
      </c>
      <c r="D13" s="2" t="s">
        <v>17</v>
      </c>
      <c r="E13" s="2">
        <v>1.0</v>
      </c>
      <c r="F13" s="2">
        <v>55.0</v>
      </c>
      <c r="G13" s="2">
        <v>15.0</v>
      </c>
      <c r="H13" s="2">
        <v>8.25</v>
      </c>
      <c r="I13" s="2">
        <v>46.75</v>
      </c>
      <c r="J13" s="2" t="str">
        <f t="array" ref="J13">_xlfn.XLOOKUP(C13,Customers!A:A,Customers!B:B)</f>
        <v>John Miller</v>
      </c>
    </row>
    <row r="14">
      <c r="A14" s="2">
        <v>50013.0</v>
      </c>
      <c r="B14" s="3">
        <v>46053.0</v>
      </c>
      <c r="C14" s="2">
        <v>1002.0</v>
      </c>
      <c r="D14" s="2" t="s">
        <v>42</v>
      </c>
      <c r="E14" s="2">
        <v>1.0</v>
      </c>
      <c r="F14" s="2">
        <v>850.0</v>
      </c>
      <c r="G14" s="2">
        <v>5.0</v>
      </c>
      <c r="H14" s="2">
        <v>42.5</v>
      </c>
      <c r="I14" s="2">
        <v>807.5</v>
      </c>
      <c r="J14" s="2" t="str">
        <f t="array" ref="J14">_xlfn.XLOOKUP(C14,Customers!A:A,Customers!B:B)</f>
        <v>Sara Khan</v>
      </c>
    </row>
    <row r="15">
      <c r="A15" s="2">
        <v>50014.0</v>
      </c>
      <c r="B15" s="3">
        <v>46055.0</v>
      </c>
      <c r="C15" s="2">
        <v>1012.0</v>
      </c>
      <c r="D15" s="2" t="s">
        <v>46</v>
      </c>
      <c r="E15" s="2">
        <v>3.0</v>
      </c>
      <c r="F15" s="2">
        <v>225.0</v>
      </c>
      <c r="G15" s="2">
        <v>15.0</v>
      </c>
      <c r="H15" s="2">
        <v>33.75</v>
      </c>
      <c r="I15" s="2">
        <v>191.25</v>
      </c>
      <c r="J15" s="2" t="str">
        <f t="array" ref="J15">_xlfn.XLOOKUP(C15,Customers!A:A,Customers!B:B)</f>
        <v>Raj Kumar</v>
      </c>
    </row>
    <row r="16">
      <c r="A16" s="2">
        <v>50015.0</v>
      </c>
      <c r="B16" s="3">
        <v>46057.0</v>
      </c>
      <c r="C16" s="2">
        <v>1006.0</v>
      </c>
      <c r="D16" s="2" t="s">
        <v>55</v>
      </c>
      <c r="E16" s="2">
        <v>1.0</v>
      </c>
      <c r="F16" s="2">
        <v>320.0</v>
      </c>
      <c r="G16" s="2">
        <v>0.0</v>
      </c>
      <c r="H16" s="2">
        <v>0.0</v>
      </c>
      <c r="I16" s="2">
        <v>320.0</v>
      </c>
      <c r="J16" s="2" t="str">
        <f t="array" ref="J16">_xlfn.XLOOKUP(C16,Customers!A:A,Customers!B:B)</f>
        <v>Neha Sharma</v>
      </c>
    </row>
    <row r="17">
      <c r="A17" s="2">
        <v>50016.0</v>
      </c>
      <c r="B17" s="3">
        <v>46059.0</v>
      </c>
      <c r="C17" s="2">
        <v>1002.0</v>
      </c>
      <c r="D17" s="2" t="s">
        <v>49</v>
      </c>
      <c r="E17" s="2">
        <v>2.0</v>
      </c>
      <c r="F17" s="2">
        <v>190.0</v>
      </c>
      <c r="G17" s="2">
        <v>0.0</v>
      </c>
      <c r="H17" s="2">
        <v>0.0</v>
      </c>
      <c r="I17" s="2">
        <v>190.0</v>
      </c>
      <c r="J17" s="2" t="str">
        <f t="array" ref="J17">_xlfn.XLOOKUP(C17,Customers!A:A,Customers!B:B)</f>
        <v>Sara Khan</v>
      </c>
    </row>
    <row r="18">
      <c r="A18" s="2">
        <v>50017.0</v>
      </c>
      <c r="B18" s="3">
        <v>46062.0</v>
      </c>
      <c r="C18" s="2">
        <v>1001.0</v>
      </c>
      <c r="D18" s="2" t="s">
        <v>49</v>
      </c>
      <c r="E18" s="2">
        <v>2.0</v>
      </c>
      <c r="F18" s="2">
        <v>190.0</v>
      </c>
      <c r="G18" s="2">
        <v>5.0</v>
      </c>
      <c r="H18" s="2">
        <v>9.5</v>
      </c>
      <c r="I18" s="2">
        <v>180.5</v>
      </c>
      <c r="J18" s="2" t="str">
        <f t="array" ref="J18">_xlfn.XLOOKUP(C18,Customers!A:A,Customers!B:B)</f>
        <v>Aman Singh</v>
      </c>
    </row>
    <row r="19">
      <c r="A19" s="2">
        <v>50018.0</v>
      </c>
      <c r="B19" s="3">
        <v>46064.0</v>
      </c>
      <c r="C19" s="2">
        <v>1012.0</v>
      </c>
      <c r="D19" s="2" t="s">
        <v>35</v>
      </c>
      <c r="E19" s="2">
        <v>4.0</v>
      </c>
      <c r="F19" s="2">
        <v>1120.0</v>
      </c>
      <c r="G19" s="2">
        <v>5.0</v>
      </c>
      <c r="H19" s="2">
        <v>56.0</v>
      </c>
      <c r="I19" s="2">
        <v>1064.0</v>
      </c>
      <c r="J19" s="2" t="str">
        <f t="array" ref="J19">_xlfn.XLOOKUP(C19,Customers!A:A,Customers!B:B)</f>
        <v>Raj Kumar</v>
      </c>
    </row>
    <row r="20">
      <c r="A20" s="2">
        <v>50019.0</v>
      </c>
      <c r="B20" s="3">
        <v>46066.0</v>
      </c>
      <c r="C20" s="2">
        <v>1012.0</v>
      </c>
      <c r="D20" s="2" t="s">
        <v>49</v>
      </c>
      <c r="E20" s="2">
        <v>5.0</v>
      </c>
      <c r="F20" s="2">
        <v>475.0</v>
      </c>
      <c r="G20" s="2">
        <v>10.0</v>
      </c>
      <c r="H20" s="2">
        <v>47.5</v>
      </c>
      <c r="I20" s="2">
        <v>427.5</v>
      </c>
      <c r="J20" s="2" t="str">
        <f t="array" ref="J20">_xlfn.XLOOKUP(C20,Customers!A:A,Customers!B:B)</f>
        <v>Raj Kumar</v>
      </c>
    </row>
    <row r="21" ht="15.75" customHeight="1">
      <c r="A21" s="2">
        <v>50020.0</v>
      </c>
      <c r="B21" s="3">
        <v>46068.0</v>
      </c>
      <c r="C21" s="2">
        <v>1017.0</v>
      </c>
      <c r="D21" s="2" t="s">
        <v>17</v>
      </c>
      <c r="E21" s="2">
        <v>1.0</v>
      </c>
      <c r="F21" s="2">
        <v>55.0</v>
      </c>
      <c r="G21" s="2">
        <v>0.0</v>
      </c>
      <c r="H21" s="2">
        <v>0.0</v>
      </c>
      <c r="I21" s="2">
        <v>55.0</v>
      </c>
      <c r="J21" s="2" t="str">
        <f t="array" ref="J21">_xlfn.XLOOKUP(C21,Customers!A:A,Customers!B:B)</f>
        <v>David Smith</v>
      </c>
    </row>
    <row r="22" ht="15.75" customHeight="1">
      <c r="A22" s="2">
        <v>50021.0</v>
      </c>
      <c r="B22" s="3">
        <v>46070.0</v>
      </c>
      <c r="C22" s="2">
        <v>1010.0</v>
      </c>
      <c r="D22" s="2" t="s">
        <v>42</v>
      </c>
      <c r="E22" s="2">
        <v>1.0</v>
      </c>
      <c r="F22" s="2">
        <v>850.0</v>
      </c>
      <c r="G22" s="2">
        <v>5.0</v>
      </c>
      <c r="H22" s="2">
        <v>42.5</v>
      </c>
      <c r="I22" s="2">
        <v>807.5</v>
      </c>
      <c r="J22" s="2" t="str">
        <f t="array" ref="J22">_xlfn.XLOOKUP(C22,Customers!A:A,Customers!B:B)</f>
        <v>Harpreet Kaur</v>
      </c>
    </row>
    <row r="23" ht="15.75" customHeight="1">
      <c r="A23" s="2">
        <v>50022.0</v>
      </c>
      <c r="B23" s="3">
        <v>46073.0</v>
      </c>
      <c r="C23" s="2">
        <v>1016.0</v>
      </c>
      <c r="D23" s="2" t="s">
        <v>49</v>
      </c>
      <c r="E23" s="2">
        <v>3.0</v>
      </c>
      <c r="F23" s="2">
        <v>285.0</v>
      </c>
      <c r="G23" s="2">
        <v>5.0</v>
      </c>
      <c r="H23" s="2">
        <v>14.25</v>
      </c>
      <c r="I23" s="2">
        <v>270.75</v>
      </c>
      <c r="J23" s="2" t="str">
        <f t="array" ref="J23">_xlfn.XLOOKUP(C23,Customers!A:A,Customers!B:B)</f>
        <v>Anita Verma</v>
      </c>
    </row>
    <row r="24" ht="15.75" customHeight="1">
      <c r="A24" s="2">
        <v>50023.0</v>
      </c>
      <c r="B24" s="3">
        <v>46075.0</v>
      </c>
      <c r="C24" s="2">
        <v>1015.0</v>
      </c>
      <c r="D24" s="2" t="s">
        <v>49</v>
      </c>
      <c r="E24" s="2">
        <v>2.0</v>
      </c>
      <c r="F24" s="2">
        <v>190.0</v>
      </c>
      <c r="G24" s="2">
        <v>10.0</v>
      </c>
      <c r="H24" s="2">
        <v>19.0</v>
      </c>
      <c r="I24" s="2">
        <v>171.0</v>
      </c>
      <c r="J24" s="2" t="str">
        <f t="array" ref="J24">_xlfn.XLOOKUP(C24,Customers!A:A,Customers!B:B)</f>
        <v>Luca Ferrari</v>
      </c>
    </row>
    <row r="25" ht="15.75" customHeight="1">
      <c r="A25" s="2">
        <v>50024.0</v>
      </c>
      <c r="B25" s="3">
        <v>46077.0</v>
      </c>
      <c r="C25" s="2">
        <v>1015.0</v>
      </c>
      <c r="D25" s="2" t="s">
        <v>55</v>
      </c>
      <c r="E25" s="2">
        <v>5.0</v>
      </c>
      <c r="F25" s="2">
        <v>1600.0</v>
      </c>
      <c r="G25" s="2">
        <v>0.0</v>
      </c>
      <c r="H25" s="2">
        <v>0.0</v>
      </c>
      <c r="I25" s="2">
        <v>1600.0</v>
      </c>
      <c r="J25" s="2" t="str">
        <f t="array" ref="J25">_xlfn.XLOOKUP(C25,Customers!A:A,Customers!B:B)</f>
        <v>Luca Ferrari</v>
      </c>
    </row>
    <row r="26" ht="15.75" customHeight="1">
      <c r="A26" s="2">
        <v>50025.0</v>
      </c>
      <c r="B26" s="3">
        <v>46079.0</v>
      </c>
      <c r="C26" s="2">
        <v>1019.0</v>
      </c>
      <c r="D26" s="2" t="s">
        <v>55</v>
      </c>
      <c r="E26" s="2">
        <v>4.0</v>
      </c>
      <c r="F26" s="2">
        <v>1280.0</v>
      </c>
      <c r="G26" s="2">
        <v>15.0</v>
      </c>
      <c r="H26" s="2">
        <v>192.0</v>
      </c>
      <c r="I26" s="2">
        <v>1088.0</v>
      </c>
      <c r="J26" s="2" t="str">
        <f t="array" ref="J26">_xlfn.XLOOKUP(C26,Customers!A:A,Customers!B:B)</f>
        <v>Giulia Conti</v>
      </c>
    </row>
    <row r="27" ht="15.75" customHeight="1">
      <c r="A27" s="2">
        <v>50026.0</v>
      </c>
      <c r="B27" s="3">
        <v>46081.0</v>
      </c>
      <c r="C27" s="2">
        <v>1012.0</v>
      </c>
      <c r="D27" s="2" t="s">
        <v>25</v>
      </c>
      <c r="E27" s="2">
        <v>2.0</v>
      </c>
      <c r="F27" s="2">
        <v>50.0</v>
      </c>
      <c r="G27" s="2">
        <v>5.0</v>
      </c>
      <c r="H27" s="2">
        <v>2.5</v>
      </c>
      <c r="I27" s="2">
        <v>47.5</v>
      </c>
      <c r="J27" s="2" t="str">
        <f t="array" ref="J27">_xlfn.XLOOKUP(C27,Customers!A:A,Customers!B:B)</f>
        <v>Raj Kumar</v>
      </c>
    </row>
    <row r="28" ht="15.75" customHeight="1">
      <c r="A28" s="2">
        <v>50027.0</v>
      </c>
      <c r="B28" s="3">
        <v>46083.0</v>
      </c>
      <c r="C28" s="2">
        <v>1020.0</v>
      </c>
      <c r="D28" s="2" t="s">
        <v>46</v>
      </c>
      <c r="E28" s="2">
        <v>4.0</v>
      </c>
      <c r="F28" s="2">
        <v>300.0</v>
      </c>
      <c r="G28" s="2">
        <v>0.0</v>
      </c>
      <c r="H28" s="2">
        <v>0.0</v>
      </c>
      <c r="I28" s="2">
        <v>300.0</v>
      </c>
      <c r="J28" s="2" t="str">
        <f t="array" ref="J28">_xlfn.XLOOKUP(C28,Customers!A:A,Customers!B:B)</f>
        <v>Arjun Mehta</v>
      </c>
    </row>
    <row r="29" ht="15.75" customHeight="1">
      <c r="A29" s="2">
        <v>50028.0</v>
      </c>
      <c r="B29" s="3">
        <v>46086.0</v>
      </c>
      <c r="C29" s="2">
        <v>1003.0</v>
      </c>
      <c r="D29" s="2" t="s">
        <v>17</v>
      </c>
      <c r="E29" s="2">
        <v>3.0</v>
      </c>
      <c r="F29" s="2">
        <v>165.0</v>
      </c>
      <c r="G29" s="2">
        <v>10.0</v>
      </c>
      <c r="H29" s="2">
        <v>16.5</v>
      </c>
      <c r="I29" s="2">
        <v>148.5</v>
      </c>
      <c r="J29" s="2" t="str">
        <f t="array" ref="J29">_xlfn.XLOOKUP(C29,Customers!A:A,Customers!B:B)</f>
        <v>John Miller</v>
      </c>
    </row>
    <row r="30" ht="15.75" customHeight="1">
      <c r="A30" s="2">
        <v>50029.0</v>
      </c>
      <c r="B30" s="3">
        <v>46088.0</v>
      </c>
      <c r="C30" s="2">
        <v>1005.0</v>
      </c>
      <c r="D30" s="2" t="s">
        <v>49</v>
      </c>
      <c r="E30" s="2">
        <v>3.0</v>
      </c>
      <c r="F30" s="2">
        <v>285.0</v>
      </c>
      <c r="G30" s="2">
        <v>10.0</v>
      </c>
      <c r="H30" s="2">
        <v>28.5</v>
      </c>
      <c r="I30" s="2">
        <v>256.5</v>
      </c>
      <c r="J30" s="2" t="str">
        <f t="array" ref="J30">_xlfn.XLOOKUP(C30,Customers!A:A,Customers!B:B)</f>
        <v>Daniel Rossi</v>
      </c>
    </row>
    <row r="31" ht="15.75" customHeight="1">
      <c r="A31" s="2">
        <v>50030.0</v>
      </c>
      <c r="B31" s="3">
        <v>46090.0</v>
      </c>
      <c r="C31" s="2">
        <v>1019.0</v>
      </c>
      <c r="D31" s="2" t="s">
        <v>30</v>
      </c>
      <c r="E31" s="2">
        <v>1.0</v>
      </c>
      <c r="F31" s="2">
        <v>500.0</v>
      </c>
      <c r="G31" s="2">
        <v>15.0</v>
      </c>
      <c r="H31" s="2">
        <v>75.0</v>
      </c>
      <c r="I31" s="2">
        <v>425.0</v>
      </c>
      <c r="J31" s="2" t="str">
        <f t="array" ref="J31">_xlfn.XLOOKUP(C31,Customers!A:A,Customers!B:B)</f>
        <v>Giulia Conti</v>
      </c>
    </row>
    <row r="32" ht="15.75" customHeight="1">
      <c r="A32" s="2">
        <v>50031.0</v>
      </c>
      <c r="B32" s="3">
        <v>46092.0</v>
      </c>
      <c r="C32" s="2">
        <v>1007.0</v>
      </c>
      <c r="D32" s="2" t="s">
        <v>49</v>
      </c>
      <c r="E32" s="2">
        <v>5.0</v>
      </c>
      <c r="F32" s="2">
        <v>475.0</v>
      </c>
      <c r="G32" s="2">
        <v>0.0</v>
      </c>
      <c r="H32" s="2">
        <v>0.0</v>
      </c>
      <c r="I32" s="2">
        <v>475.0</v>
      </c>
      <c r="J32" s="2" t="str">
        <f t="array" ref="J32">_xlfn.XLOOKUP(C32,Customers!A:A,Customers!B:B)</f>
        <v>Marco Bianchi</v>
      </c>
    </row>
    <row r="33" ht="15.75" customHeight="1">
      <c r="A33" s="2">
        <v>50032.0</v>
      </c>
      <c r="B33" s="3">
        <v>46094.0</v>
      </c>
      <c r="C33" s="2">
        <v>1009.0</v>
      </c>
      <c r="D33" s="2" t="s">
        <v>42</v>
      </c>
      <c r="E33" s="2">
        <v>4.0</v>
      </c>
      <c r="F33" s="2">
        <v>3400.0</v>
      </c>
      <c r="G33" s="2">
        <v>5.0</v>
      </c>
      <c r="H33" s="2">
        <v>170.0</v>
      </c>
      <c r="I33" s="2">
        <v>3230.0</v>
      </c>
      <c r="J33" s="2" t="str">
        <f t="array" ref="J33">_xlfn.XLOOKUP(C33,Customers!A:A,Customers!B:B)</f>
        <v>Alex Brown</v>
      </c>
    </row>
    <row r="34" ht="15.75" customHeight="1">
      <c r="A34" s="2">
        <v>50033.0</v>
      </c>
      <c r="B34" s="3">
        <v>46097.0</v>
      </c>
      <c r="C34" s="2">
        <v>1007.0</v>
      </c>
      <c r="D34" s="2" t="s">
        <v>25</v>
      </c>
      <c r="E34" s="2">
        <v>2.0</v>
      </c>
      <c r="F34" s="2">
        <v>50.0</v>
      </c>
      <c r="G34" s="2">
        <v>5.0</v>
      </c>
      <c r="H34" s="2">
        <v>2.5</v>
      </c>
      <c r="I34" s="2">
        <v>47.5</v>
      </c>
      <c r="J34" s="2" t="str">
        <f t="array" ref="J34">_xlfn.XLOOKUP(C34,Customers!A:A,Customers!B:B)</f>
        <v>Marco Bianchi</v>
      </c>
    </row>
    <row r="35" ht="15.75" customHeight="1">
      <c r="A35" s="2">
        <v>50034.0</v>
      </c>
      <c r="B35" s="3">
        <v>46099.0</v>
      </c>
      <c r="C35" s="2">
        <v>1018.0</v>
      </c>
      <c r="D35" s="2" t="s">
        <v>46</v>
      </c>
      <c r="E35" s="2">
        <v>3.0</v>
      </c>
      <c r="F35" s="2">
        <v>225.0</v>
      </c>
      <c r="G35" s="2">
        <v>15.0</v>
      </c>
      <c r="H35" s="2">
        <v>33.75</v>
      </c>
      <c r="I35" s="2">
        <v>191.25</v>
      </c>
      <c r="J35" s="2" t="str">
        <f t="array" ref="J35">_xlfn.XLOOKUP(C35,Customers!A:A,Customers!B:B)</f>
        <v>Manpreet Kaur</v>
      </c>
    </row>
    <row r="36" ht="15.75" customHeight="1">
      <c r="A36" s="2">
        <v>50035.0</v>
      </c>
      <c r="B36" s="3">
        <v>46101.0</v>
      </c>
      <c r="C36" s="2">
        <v>1004.0</v>
      </c>
      <c r="D36" s="2" t="s">
        <v>30</v>
      </c>
      <c r="E36" s="2">
        <v>1.0</v>
      </c>
      <c r="F36" s="2">
        <v>500.0</v>
      </c>
      <c r="G36" s="2">
        <v>0.0</v>
      </c>
      <c r="H36" s="2">
        <v>0.0</v>
      </c>
      <c r="I36" s="2">
        <v>500.0</v>
      </c>
      <c r="J36" s="2" t="str">
        <f t="array" ref="J36">_xlfn.XLOOKUP(C36,Customers!A:A,Customers!B:B)</f>
        <v>Simran Kaur</v>
      </c>
    </row>
    <row r="37" ht="15.75" customHeight="1">
      <c r="A37" s="2">
        <v>50036.0</v>
      </c>
      <c r="B37" s="3">
        <v>46103.0</v>
      </c>
      <c r="C37" s="2">
        <v>1014.0</v>
      </c>
      <c r="D37" s="2" t="s">
        <v>25</v>
      </c>
      <c r="E37" s="2">
        <v>1.0</v>
      </c>
      <c r="F37" s="2">
        <v>25.0</v>
      </c>
      <c r="G37" s="2">
        <v>0.0</v>
      </c>
      <c r="H37" s="2">
        <v>0.0</v>
      </c>
      <c r="I37" s="2">
        <v>25.0</v>
      </c>
      <c r="J37" s="2" t="str">
        <f t="array" ref="J37">_xlfn.XLOOKUP(C37,Customers!A:A,Customers!B:B)</f>
        <v>Gurpreet Singh</v>
      </c>
    </row>
    <row r="38" ht="15.75" customHeight="1">
      <c r="A38" s="2">
        <v>50037.0</v>
      </c>
      <c r="B38" s="3">
        <v>46105.0</v>
      </c>
      <c r="C38" s="2">
        <v>1018.0</v>
      </c>
      <c r="D38" s="2" t="s">
        <v>35</v>
      </c>
      <c r="E38" s="2">
        <v>4.0</v>
      </c>
      <c r="F38" s="2">
        <v>1120.0</v>
      </c>
      <c r="G38" s="2">
        <v>0.0</v>
      </c>
      <c r="H38" s="2">
        <v>0.0</v>
      </c>
      <c r="I38" s="2">
        <v>1120.0</v>
      </c>
      <c r="J38" s="2" t="str">
        <f t="array" ref="J38">_xlfn.XLOOKUP(C38,Customers!A:A,Customers!B:B)</f>
        <v>Manpreet Kaur</v>
      </c>
    </row>
    <row r="39" ht="15.75" customHeight="1">
      <c r="A39" s="2">
        <v>50038.0</v>
      </c>
      <c r="B39" s="3">
        <v>46108.0</v>
      </c>
      <c r="C39" s="2">
        <v>1009.0</v>
      </c>
      <c r="D39" s="2" t="s">
        <v>46</v>
      </c>
      <c r="E39" s="2">
        <v>3.0</v>
      </c>
      <c r="F39" s="2">
        <v>225.0</v>
      </c>
      <c r="G39" s="2">
        <v>0.0</v>
      </c>
      <c r="H39" s="2">
        <v>0.0</v>
      </c>
      <c r="I39" s="2">
        <v>225.0</v>
      </c>
      <c r="J39" s="2" t="str">
        <f t="array" ref="J39">_xlfn.XLOOKUP(C39,Customers!A:A,Customers!B:B)</f>
        <v>Alex Brown</v>
      </c>
    </row>
    <row r="40" ht="15.75" customHeight="1">
      <c r="A40" s="2">
        <v>50039.0</v>
      </c>
      <c r="B40" s="3">
        <v>46110.0</v>
      </c>
      <c r="C40" s="2">
        <v>1002.0</v>
      </c>
      <c r="D40" s="2" t="s">
        <v>49</v>
      </c>
      <c r="E40" s="2">
        <v>5.0</v>
      </c>
      <c r="F40" s="2">
        <v>475.0</v>
      </c>
      <c r="G40" s="2">
        <v>5.0</v>
      </c>
      <c r="H40" s="2">
        <v>23.75</v>
      </c>
      <c r="I40" s="2">
        <v>451.25</v>
      </c>
      <c r="J40" s="2" t="str">
        <f t="array" ref="J40">_xlfn.XLOOKUP(C40,Customers!A:A,Customers!B:B)</f>
        <v>Sara Khan</v>
      </c>
    </row>
    <row r="41" ht="15.75" customHeight="1">
      <c r="A41" s="2">
        <v>50040.0</v>
      </c>
      <c r="B41" s="3">
        <v>46112.0</v>
      </c>
      <c r="C41" s="2">
        <v>1020.0</v>
      </c>
      <c r="D41" s="2" t="s">
        <v>49</v>
      </c>
      <c r="E41" s="2">
        <v>3.0</v>
      </c>
      <c r="F41" s="2">
        <v>285.0</v>
      </c>
      <c r="G41" s="2">
        <v>0.0</v>
      </c>
      <c r="H41" s="2">
        <v>0.0</v>
      </c>
      <c r="I41" s="2">
        <v>285.0</v>
      </c>
      <c r="J41" s="2" t="str">
        <f t="array" ref="J41">_xlfn.XLOOKUP(C41,Customers!A:A,Customers!B:B)</f>
        <v>Arjun Mehta</v>
      </c>
    </row>
    <row r="42" ht="15.75" customHeight="1">
      <c r="A42" s="2">
        <v>50041.0</v>
      </c>
      <c r="B42" s="3">
        <v>46114.0</v>
      </c>
      <c r="C42" s="2">
        <v>1015.0</v>
      </c>
      <c r="D42" s="2" t="s">
        <v>46</v>
      </c>
      <c r="E42" s="2">
        <v>4.0</v>
      </c>
      <c r="F42" s="2">
        <v>300.0</v>
      </c>
      <c r="G42" s="2">
        <v>0.0</v>
      </c>
      <c r="H42" s="2">
        <v>0.0</v>
      </c>
      <c r="I42" s="2">
        <v>300.0</v>
      </c>
      <c r="J42" s="2" t="str">
        <f t="array" ref="J42">_xlfn.XLOOKUP(C42,Customers!A:A,Customers!B:B)</f>
        <v>Luca Ferrari</v>
      </c>
    </row>
    <row r="43" ht="15.75" customHeight="1">
      <c r="A43" s="2">
        <v>50042.0</v>
      </c>
      <c r="B43" s="3">
        <v>46116.0</v>
      </c>
      <c r="C43" s="2">
        <v>1007.0</v>
      </c>
      <c r="D43" s="2" t="s">
        <v>49</v>
      </c>
      <c r="E43" s="2">
        <v>4.0</v>
      </c>
      <c r="F43" s="2">
        <v>380.0</v>
      </c>
      <c r="H43" s="2">
        <v>0.0</v>
      </c>
      <c r="I43" s="2">
        <v>380.0</v>
      </c>
      <c r="J43" s="2" t="str">
        <f t="array" ref="J43">_xlfn.XLOOKUP(C43,Customers!A:A,Customers!B:B)</f>
        <v>Marco Bianchi</v>
      </c>
    </row>
    <row r="44" ht="15.75" customHeight="1">
      <c r="A44" s="2">
        <v>50043.0</v>
      </c>
      <c r="B44" s="3">
        <v>46119.0</v>
      </c>
      <c r="C44" s="2">
        <v>1012.0</v>
      </c>
      <c r="D44" s="2" t="s">
        <v>17</v>
      </c>
      <c r="E44" s="2">
        <v>3.0</v>
      </c>
      <c r="F44" s="2">
        <v>165.0</v>
      </c>
      <c r="G44" s="2">
        <v>15.0</v>
      </c>
      <c r="H44" s="2">
        <v>24.75</v>
      </c>
      <c r="I44" s="2">
        <v>140.25</v>
      </c>
      <c r="J44" s="2" t="str">
        <f t="array" ref="J44">_xlfn.XLOOKUP(C44,Customers!A:A,Customers!B:B)</f>
        <v>Raj Kumar</v>
      </c>
    </row>
    <row r="45" ht="15.75" customHeight="1">
      <c r="A45" s="2">
        <v>50044.0</v>
      </c>
      <c r="B45" s="3">
        <v>46121.0</v>
      </c>
      <c r="C45" s="2">
        <v>1008.0</v>
      </c>
      <c r="D45" s="2" t="s">
        <v>46</v>
      </c>
      <c r="E45" s="2">
        <v>4.0</v>
      </c>
      <c r="F45" s="2">
        <v>300.0</v>
      </c>
      <c r="G45" s="2">
        <v>0.0</v>
      </c>
      <c r="H45" s="2">
        <v>0.0</v>
      </c>
      <c r="I45" s="2">
        <v>300.0</v>
      </c>
      <c r="J45" s="2" t="str">
        <f t="array" ref="J45">_xlfn.XLOOKUP(C45,Customers!A:A,Customers!B:B)</f>
        <v>Priya Patel</v>
      </c>
    </row>
    <row r="46" ht="15.75" customHeight="1">
      <c r="A46" s="2">
        <v>50045.0</v>
      </c>
      <c r="B46" s="3">
        <v>46123.0</v>
      </c>
      <c r="C46" s="2">
        <v>1015.0</v>
      </c>
      <c r="D46" s="2" t="s">
        <v>25</v>
      </c>
      <c r="E46" s="2">
        <v>3.0</v>
      </c>
      <c r="F46" s="2">
        <v>75.0</v>
      </c>
      <c r="G46" s="2">
        <v>0.0</v>
      </c>
      <c r="H46" s="2">
        <v>0.0</v>
      </c>
      <c r="I46" s="2">
        <v>75.0</v>
      </c>
      <c r="J46" s="2" t="str">
        <f t="array" ref="J46">_xlfn.XLOOKUP(C46,Customers!A:A,Customers!B:B)</f>
        <v>Luca Ferrari</v>
      </c>
    </row>
    <row r="47" ht="15.75" customHeight="1">
      <c r="A47" s="2">
        <v>50046.0</v>
      </c>
      <c r="B47" s="3">
        <v>46125.0</v>
      </c>
      <c r="C47" s="2">
        <v>1003.0</v>
      </c>
      <c r="D47" s="2" t="s">
        <v>46</v>
      </c>
      <c r="E47" s="2">
        <v>2.0</v>
      </c>
      <c r="F47" s="2">
        <v>150.0</v>
      </c>
      <c r="G47" s="2">
        <v>5.0</v>
      </c>
      <c r="H47" s="2">
        <v>7.5</v>
      </c>
      <c r="I47" s="2">
        <v>142.5</v>
      </c>
      <c r="J47" s="2" t="str">
        <f t="array" ref="J47">_xlfn.XLOOKUP(C47,Customers!A:A,Customers!B:B)</f>
        <v>John Miller</v>
      </c>
    </row>
    <row r="48" ht="15.75" customHeight="1">
      <c r="A48" s="2">
        <v>50047.0</v>
      </c>
      <c r="B48" s="3">
        <v>46127.0</v>
      </c>
      <c r="C48" s="2">
        <v>1014.0</v>
      </c>
      <c r="D48" s="2" t="s">
        <v>30</v>
      </c>
      <c r="E48" s="2">
        <v>3.0</v>
      </c>
      <c r="F48" s="2">
        <v>1500.0</v>
      </c>
      <c r="G48" s="2">
        <v>0.0</v>
      </c>
      <c r="H48" s="2">
        <v>0.0</v>
      </c>
      <c r="I48" s="2">
        <v>1500.0</v>
      </c>
      <c r="J48" s="2" t="str">
        <f t="array" ref="J48">_xlfn.XLOOKUP(C48,Customers!A:A,Customers!B:B)</f>
        <v>Gurpreet Singh</v>
      </c>
    </row>
    <row r="49" ht="15.75" customHeight="1">
      <c r="A49" s="2">
        <v>50048.0</v>
      </c>
      <c r="B49" s="3">
        <v>46130.0</v>
      </c>
      <c r="C49" s="2">
        <v>1017.0</v>
      </c>
      <c r="D49" s="2" t="s">
        <v>49</v>
      </c>
      <c r="E49" s="2">
        <v>3.0</v>
      </c>
      <c r="F49" s="2">
        <v>285.0</v>
      </c>
      <c r="G49" s="2">
        <v>0.0</v>
      </c>
      <c r="H49" s="2">
        <v>0.0</v>
      </c>
      <c r="I49" s="2">
        <v>285.0</v>
      </c>
      <c r="J49" s="2" t="str">
        <f t="array" ref="J49">_xlfn.XLOOKUP(C49,Customers!A:A,Customers!B:B)</f>
        <v>David Smith</v>
      </c>
    </row>
    <row r="50" ht="15.75" customHeight="1">
      <c r="A50" s="2">
        <v>50049.0</v>
      </c>
      <c r="B50" s="3">
        <v>46132.0</v>
      </c>
      <c r="C50" s="2">
        <v>1004.0</v>
      </c>
      <c r="D50" s="2" t="s">
        <v>17</v>
      </c>
      <c r="E50" s="2">
        <v>4.0</v>
      </c>
      <c r="F50" s="2">
        <v>220.0</v>
      </c>
      <c r="G50" s="2">
        <v>0.0</v>
      </c>
      <c r="H50" s="2">
        <v>0.0</v>
      </c>
      <c r="I50" s="2">
        <v>220.0</v>
      </c>
      <c r="J50" s="2" t="str">
        <f t="array" ref="J50">_xlfn.XLOOKUP(C50,Customers!A:A,Customers!B:B)</f>
        <v>Simran Kaur</v>
      </c>
    </row>
    <row r="51" ht="15.75" customHeight="1">
      <c r="A51" s="2">
        <v>50050.0</v>
      </c>
      <c r="B51" s="3">
        <v>46134.0</v>
      </c>
      <c r="C51" s="2">
        <v>1018.0</v>
      </c>
      <c r="D51" s="2" t="s">
        <v>17</v>
      </c>
      <c r="E51" s="2">
        <v>4.0</v>
      </c>
      <c r="F51" s="2">
        <v>220.0</v>
      </c>
      <c r="G51" s="2">
        <v>0.0</v>
      </c>
      <c r="H51" s="2">
        <v>0.0</v>
      </c>
      <c r="I51" s="2">
        <v>220.0</v>
      </c>
      <c r="J51" s="2" t="str">
        <f t="array" ref="J51">_xlfn.XLOOKUP(C51,Customers!A:A,Customers!B:B)</f>
        <v>Manpreet Kaur</v>
      </c>
    </row>
    <row r="52" ht="15.75" customHeight="1">
      <c r="A52" s="2">
        <v>50051.0</v>
      </c>
      <c r="B52" s="3">
        <v>46136.0</v>
      </c>
      <c r="C52" s="2">
        <v>1008.0</v>
      </c>
      <c r="D52" s="2" t="s">
        <v>35</v>
      </c>
      <c r="E52" s="2">
        <v>1.0</v>
      </c>
      <c r="F52" s="2">
        <v>280.0</v>
      </c>
      <c r="G52" s="2">
        <v>10.0</v>
      </c>
      <c r="H52" s="2">
        <v>28.0</v>
      </c>
      <c r="I52" s="2">
        <v>252.0</v>
      </c>
      <c r="J52" s="2" t="str">
        <f t="array" ref="J52">_xlfn.XLOOKUP(C52,Customers!A:A,Customers!B:B)</f>
        <v>Priya Patel</v>
      </c>
    </row>
    <row r="53" ht="15.75" customHeight="1">
      <c r="A53" s="2">
        <v>50052.0</v>
      </c>
      <c r="B53" s="3">
        <v>46138.0</v>
      </c>
      <c r="C53" s="2">
        <v>1004.0</v>
      </c>
      <c r="D53" s="2" t="s">
        <v>25</v>
      </c>
      <c r="E53" s="2">
        <v>1.0</v>
      </c>
      <c r="F53" s="2">
        <v>25.0</v>
      </c>
      <c r="G53" s="2">
        <v>0.0</v>
      </c>
      <c r="H53" s="2">
        <v>0.0</v>
      </c>
      <c r="I53" s="2">
        <v>25.0</v>
      </c>
      <c r="J53" s="2" t="str">
        <f t="array" ref="J53">_xlfn.XLOOKUP(C53,Customers!A:A,Customers!B:B)</f>
        <v>Simran Kaur</v>
      </c>
    </row>
    <row r="54" ht="15.75" customHeight="1">
      <c r="A54" s="2">
        <v>50053.0</v>
      </c>
      <c r="B54" s="3">
        <v>46140.0</v>
      </c>
      <c r="C54" s="2">
        <v>1002.0</v>
      </c>
      <c r="D54" s="2" t="s">
        <v>55</v>
      </c>
      <c r="E54" s="2">
        <v>2.0</v>
      </c>
      <c r="F54" s="2">
        <v>640.0</v>
      </c>
      <c r="G54" s="2">
        <v>10.0</v>
      </c>
      <c r="H54" s="2">
        <v>64.0</v>
      </c>
      <c r="I54" s="2">
        <v>576.0</v>
      </c>
      <c r="J54" s="2" t="str">
        <f t="array" ref="J54">_xlfn.XLOOKUP(C54,Customers!A:A,Customers!B:B)</f>
        <v>Sara Khan</v>
      </c>
    </row>
    <row r="55" ht="15.75" customHeight="1">
      <c r="A55" s="2">
        <v>50054.0</v>
      </c>
      <c r="B55" s="3">
        <v>46143.0</v>
      </c>
      <c r="C55" s="2">
        <v>1006.0</v>
      </c>
      <c r="D55" s="2" t="s">
        <v>55</v>
      </c>
      <c r="E55" s="2">
        <v>1.0</v>
      </c>
      <c r="F55" s="2">
        <v>320.0</v>
      </c>
      <c r="G55" s="2">
        <v>5.0</v>
      </c>
      <c r="H55" s="2">
        <v>16.0</v>
      </c>
      <c r="I55" s="2">
        <v>304.0</v>
      </c>
      <c r="J55" s="2" t="str">
        <f t="array" ref="J55">_xlfn.XLOOKUP(C55,Customers!A:A,Customers!B:B)</f>
        <v>Neha Sharma</v>
      </c>
    </row>
    <row r="56" ht="15.75" customHeight="1">
      <c r="A56" s="2">
        <v>50055.0</v>
      </c>
      <c r="B56" s="3">
        <v>46145.0</v>
      </c>
      <c r="C56" s="2">
        <v>1010.0</v>
      </c>
      <c r="D56" s="2" t="s">
        <v>46</v>
      </c>
      <c r="E56" s="2">
        <v>3.0</v>
      </c>
      <c r="F56" s="2">
        <v>225.0</v>
      </c>
      <c r="G56" s="2">
        <v>0.0</v>
      </c>
      <c r="H56" s="2">
        <v>0.0</v>
      </c>
      <c r="I56" s="2">
        <v>225.0</v>
      </c>
      <c r="J56" s="2" t="str">
        <f t="array" ref="J56">_xlfn.XLOOKUP(C56,Customers!A:A,Customers!B:B)</f>
        <v>Harpreet Kaur</v>
      </c>
    </row>
    <row r="57" ht="15.75" customHeight="1">
      <c r="A57" s="2">
        <v>50056.0</v>
      </c>
      <c r="B57" s="3">
        <v>46147.0</v>
      </c>
      <c r="C57" s="2">
        <v>1004.0</v>
      </c>
      <c r="D57" s="2" t="s">
        <v>35</v>
      </c>
      <c r="E57" s="2">
        <v>4.0</v>
      </c>
      <c r="F57" s="2">
        <v>1120.0</v>
      </c>
      <c r="G57" s="2">
        <v>0.0</v>
      </c>
      <c r="H57" s="2">
        <v>0.0</v>
      </c>
      <c r="I57" s="2">
        <v>1120.0</v>
      </c>
      <c r="J57" s="2" t="str">
        <f t="array" ref="J57">_xlfn.XLOOKUP(C57,Customers!A:A,Customers!B:B)</f>
        <v>Simran Kaur</v>
      </c>
    </row>
    <row r="58" ht="15.75" customHeight="1">
      <c r="A58" s="2">
        <v>50057.0</v>
      </c>
      <c r="B58" s="3">
        <v>46149.0</v>
      </c>
      <c r="C58" s="2">
        <v>1018.0</v>
      </c>
      <c r="D58" s="2" t="s">
        <v>42</v>
      </c>
      <c r="E58" s="2">
        <v>1.0</v>
      </c>
      <c r="F58" s="2">
        <v>850.0</v>
      </c>
      <c r="G58" s="2">
        <v>0.0</v>
      </c>
      <c r="H58" s="2">
        <v>0.0</v>
      </c>
      <c r="I58" s="2">
        <v>850.0</v>
      </c>
      <c r="J58" s="2" t="str">
        <f t="array" ref="J58">_xlfn.XLOOKUP(C58,Customers!A:A,Customers!B:B)</f>
        <v>Manpreet Kaur</v>
      </c>
    </row>
    <row r="59" ht="15.75" customHeight="1">
      <c r="A59" s="2">
        <v>50058.0</v>
      </c>
      <c r="B59" s="3">
        <v>46151.0</v>
      </c>
      <c r="C59" s="2">
        <v>1012.0</v>
      </c>
      <c r="D59" s="2" t="s">
        <v>46</v>
      </c>
      <c r="E59" s="2">
        <v>1.0</v>
      </c>
      <c r="F59" s="2">
        <v>75.0</v>
      </c>
      <c r="G59" s="2">
        <v>5.0</v>
      </c>
      <c r="H59" s="2">
        <v>3.75</v>
      </c>
      <c r="I59" s="2">
        <v>71.25</v>
      </c>
      <c r="J59" s="2" t="str">
        <f t="array" ref="J59">_xlfn.XLOOKUP(C59,Customers!A:A,Customers!B:B)</f>
        <v>Raj Kumar</v>
      </c>
    </row>
    <row r="60" ht="15.75" customHeight="1">
      <c r="A60" s="2">
        <v>50059.0</v>
      </c>
      <c r="B60" s="3">
        <v>46154.0</v>
      </c>
      <c r="C60" s="2">
        <v>1002.0</v>
      </c>
      <c r="D60" s="2" t="s">
        <v>35</v>
      </c>
      <c r="E60" s="2">
        <v>2.0</v>
      </c>
      <c r="F60" s="2">
        <v>560.0</v>
      </c>
      <c r="G60" s="2">
        <v>0.0</v>
      </c>
      <c r="H60" s="2">
        <v>0.0</v>
      </c>
      <c r="I60" s="2">
        <v>560.0</v>
      </c>
      <c r="J60" s="2" t="str">
        <f t="array" ref="J60">_xlfn.XLOOKUP(C60,Customers!A:A,Customers!B:B)</f>
        <v>Sara Khan</v>
      </c>
    </row>
    <row r="61" ht="15.75" customHeight="1">
      <c r="A61" s="2">
        <v>50060.0</v>
      </c>
      <c r="B61" s="3">
        <v>46156.0</v>
      </c>
      <c r="C61" s="2">
        <v>1010.0</v>
      </c>
      <c r="D61" s="2" t="s">
        <v>25</v>
      </c>
      <c r="E61" s="2">
        <v>2.0</v>
      </c>
      <c r="F61" s="2">
        <v>50.0</v>
      </c>
      <c r="G61" s="2">
        <v>0.0</v>
      </c>
      <c r="H61" s="2">
        <v>0.0</v>
      </c>
      <c r="I61" s="2">
        <v>50.0</v>
      </c>
      <c r="J61" s="2" t="str">
        <f t="array" ref="J61">_xlfn.XLOOKUP(C61,Customers!A:A,Customers!B:B)</f>
        <v>Harpreet Kaur</v>
      </c>
    </row>
    <row r="62" ht="15.75" customHeight="1">
      <c r="A62" s="2">
        <v>50061.0</v>
      </c>
      <c r="B62" s="3">
        <v>46158.0</v>
      </c>
      <c r="C62" s="2">
        <v>1004.0</v>
      </c>
      <c r="D62" s="2" t="s">
        <v>25</v>
      </c>
      <c r="E62" s="2">
        <v>3.0</v>
      </c>
      <c r="F62" s="2">
        <v>75.0</v>
      </c>
      <c r="G62" s="2">
        <v>5.0</v>
      </c>
      <c r="H62" s="2">
        <v>3.75</v>
      </c>
      <c r="I62" s="2">
        <v>71.25</v>
      </c>
      <c r="J62" s="2" t="str">
        <f t="array" ref="J62">_xlfn.XLOOKUP(C62,Customers!A:A,Customers!B:B)</f>
        <v>Simran Kaur</v>
      </c>
    </row>
    <row r="63" ht="15.75" customHeight="1">
      <c r="A63" s="2">
        <v>50062.0</v>
      </c>
      <c r="B63" s="3">
        <v>46160.0</v>
      </c>
      <c r="C63" s="2">
        <v>1014.0</v>
      </c>
      <c r="D63" s="2" t="s">
        <v>25</v>
      </c>
      <c r="E63" s="2">
        <v>4.0</v>
      </c>
      <c r="F63" s="2">
        <v>100.0</v>
      </c>
      <c r="G63" s="2">
        <v>0.0</v>
      </c>
      <c r="H63" s="2">
        <v>0.0</v>
      </c>
      <c r="I63" s="2">
        <v>100.0</v>
      </c>
      <c r="J63" s="2" t="str">
        <f t="array" ref="J63">_xlfn.XLOOKUP(C63,Customers!A:A,Customers!B:B)</f>
        <v>Gurpreet Singh</v>
      </c>
    </row>
    <row r="64" ht="15.75" customHeight="1">
      <c r="A64" s="2">
        <v>50063.0</v>
      </c>
      <c r="B64" s="3">
        <v>46162.0</v>
      </c>
      <c r="C64" s="2">
        <v>1016.0</v>
      </c>
      <c r="D64" s="2" t="s">
        <v>25</v>
      </c>
      <c r="E64" s="2">
        <v>2.0</v>
      </c>
      <c r="F64" s="2">
        <v>50.0</v>
      </c>
      <c r="G64" s="2">
        <v>0.0</v>
      </c>
      <c r="H64" s="2">
        <v>0.0</v>
      </c>
      <c r="I64" s="2">
        <v>50.0</v>
      </c>
      <c r="J64" s="2" t="str">
        <f t="array" ref="J64">_xlfn.XLOOKUP(C64,Customers!A:A,Customers!B:B)</f>
        <v>Anita Verma</v>
      </c>
    </row>
    <row r="65" ht="15.75" customHeight="1">
      <c r="A65" s="2">
        <v>50064.0</v>
      </c>
      <c r="B65" s="3">
        <v>46165.0</v>
      </c>
      <c r="C65" s="2">
        <v>1015.0</v>
      </c>
      <c r="D65" s="2" t="s">
        <v>25</v>
      </c>
      <c r="E65" s="2">
        <v>1.0</v>
      </c>
      <c r="F65" s="2">
        <v>25.0</v>
      </c>
      <c r="G65" s="2">
        <v>0.0</v>
      </c>
      <c r="H65" s="2">
        <v>0.0</v>
      </c>
      <c r="I65" s="2">
        <v>25.0</v>
      </c>
      <c r="J65" s="2" t="str">
        <f t="array" ref="J65">_xlfn.XLOOKUP(C65,Customers!A:A,Customers!B:B)</f>
        <v>Luca Ferrari</v>
      </c>
    </row>
    <row r="66" ht="15.75" customHeight="1">
      <c r="A66" s="2">
        <v>50065.0</v>
      </c>
      <c r="B66" s="3">
        <v>46167.0</v>
      </c>
      <c r="C66" s="2">
        <v>1008.0</v>
      </c>
      <c r="D66" s="2" t="s">
        <v>35</v>
      </c>
      <c r="E66" s="2">
        <v>4.0</v>
      </c>
      <c r="F66" s="2">
        <v>1120.0</v>
      </c>
      <c r="G66" s="2">
        <v>0.0</v>
      </c>
      <c r="H66" s="2">
        <v>0.0</v>
      </c>
      <c r="I66" s="2">
        <v>1120.0</v>
      </c>
      <c r="J66" s="2" t="str">
        <f t="array" ref="J66">_xlfn.XLOOKUP(C66,Customers!A:A,Customers!B:B)</f>
        <v>Priya Patel</v>
      </c>
    </row>
    <row r="67" ht="15.75" customHeight="1">
      <c r="A67" s="2">
        <v>50066.0</v>
      </c>
      <c r="B67" s="3">
        <v>46169.0</v>
      </c>
      <c r="C67" s="2">
        <v>1014.0</v>
      </c>
      <c r="D67" s="2" t="s">
        <v>35</v>
      </c>
      <c r="E67" s="2">
        <v>4.0</v>
      </c>
      <c r="F67" s="2">
        <v>1120.0</v>
      </c>
      <c r="G67" s="2">
        <v>10.0</v>
      </c>
      <c r="H67" s="2">
        <v>112.0</v>
      </c>
      <c r="I67" s="2">
        <v>1008.0</v>
      </c>
      <c r="J67" s="2" t="str">
        <f t="array" ref="J67">_xlfn.XLOOKUP(C67,Customers!A:A,Customers!B:B)</f>
        <v>Gurpreet Singh</v>
      </c>
    </row>
    <row r="68" ht="15.75" customHeight="1">
      <c r="A68" s="2">
        <v>50067.0</v>
      </c>
      <c r="B68" s="3">
        <v>46171.0</v>
      </c>
      <c r="C68" s="2">
        <v>1008.0</v>
      </c>
      <c r="D68" s="2" t="s">
        <v>17</v>
      </c>
      <c r="E68" s="2">
        <v>1.0</v>
      </c>
      <c r="F68" s="2">
        <v>55.0</v>
      </c>
      <c r="G68" s="2">
        <v>0.0</v>
      </c>
      <c r="H68" s="2">
        <v>0.0</v>
      </c>
      <c r="I68" s="2">
        <v>55.0</v>
      </c>
      <c r="J68" s="2" t="str">
        <f t="array" ref="J68">_xlfn.XLOOKUP(C68,Customers!A:A,Customers!B:B)</f>
        <v>Priya Patel</v>
      </c>
    </row>
    <row r="69" ht="15.75" customHeight="1">
      <c r="A69" s="2">
        <v>50068.0</v>
      </c>
      <c r="B69" s="3">
        <v>46173.0</v>
      </c>
      <c r="C69" s="2">
        <v>1016.0</v>
      </c>
      <c r="D69" s="2" t="s">
        <v>30</v>
      </c>
      <c r="E69" s="2">
        <v>2.0</v>
      </c>
      <c r="F69" s="2">
        <v>1000.0</v>
      </c>
      <c r="G69" s="2">
        <v>5.0</v>
      </c>
      <c r="H69" s="2">
        <v>50.0</v>
      </c>
      <c r="I69" s="2">
        <v>950.0</v>
      </c>
      <c r="J69" s="2" t="str">
        <f t="array" ref="J69">_xlfn.XLOOKUP(C69,Customers!A:A,Customers!B:B)</f>
        <v>Anita Verma</v>
      </c>
    </row>
    <row r="70" ht="15.75" customHeight="1">
      <c r="A70" s="2">
        <v>50069.0</v>
      </c>
      <c r="B70" s="3">
        <v>46176.0</v>
      </c>
      <c r="C70" s="2">
        <v>1013.0</v>
      </c>
      <c r="D70" s="2" t="s">
        <v>55</v>
      </c>
      <c r="E70" s="2">
        <v>1.0</v>
      </c>
      <c r="F70" s="2">
        <v>320.0</v>
      </c>
      <c r="G70" s="2">
        <v>0.0</v>
      </c>
      <c r="H70" s="2">
        <v>0.0</v>
      </c>
      <c r="I70" s="2">
        <v>320.0</v>
      </c>
      <c r="J70" s="2" t="str">
        <f t="array" ref="J70">_xlfn.XLOOKUP(C70,Customers!A:A,Customers!B:B)</f>
        <v>Emma Wilson</v>
      </c>
    </row>
    <row r="71" ht="15.75" customHeight="1">
      <c r="A71" s="2">
        <v>50070.0</v>
      </c>
      <c r="B71" s="3">
        <v>46178.0</v>
      </c>
      <c r="C71" s="2">
        <v>1018.0</v>
      </c>
      <c r="D71" s="2" t="s">
        <v>49</v>
      </c>
      <c r="E71" s="2">
        <v>4.0</v>
      </c>
      <c r="F71" s="2">
        <v>380.0</v>
      </c>
      <c r="G71" s="2">
        <v>5.0</v>
      </c>
      <c r="H71" s="2">
        <v>19.0</v>
      </c>
      <c r="I71" s="2">
        <v>361.0</v>
      </c>
      <c r="J71" s="2" t="str">
        <f t="array" ref="J71">_xlfn.XLOOKUP(C71,Customers!A:A,Customers!B:B)</f>
        <v>Manpreet Kaur</v>
      </c>
    </row>
    <row r="72" ht="15.75" customHeight="1">
      <c r="A72" s="2">
        <v>50071.0</v>
      </c>
      <c r="B72" s="3">
        <v>46180.0</v>
      </c>
      <c r="C72" s="2">
        <v>1015.0</v>
      </c>
      <c r="D72" s="2" t="s">
        <v>25</v>
      </c>
      <c r="E72" s="2">
        <v>5.0</v>
      </c>
      <c r="F72" s="2">
        <v>125.0</v>
      </c>
      <c r="G72" s="2">
        <v>0.0</v>
      </c>
      <c r="H72" s="2">
        <v>0.0</v>
      </c>
      <c r="I72" s="2">
        <v>125.0</v>
      </c>
      <c r="J72" s="2" t="str">
        <f t="array" ref="J72">_xlfn.XLOOKUP(C72,Customers!A:A,Customers!B:B)</f>
        <v>Luca Ferrari</v>
      </c>
    </row>
    <row r="73" ht="15.75" customHeight="1">
      <c r="A73" s="2">
        <v>50072.0</v>
      </c>
      <c r="B73" s="3">
        <v>46182.0</v>
      </c>
      <c r="C73" s="2">
        <v>1013.0</v>
      </c>
      <c r="D73" s="2" t="s">
        <v>42</v>
      </c>
      <c r="E73" s="2">
        <v>5.0</v>
      </c>
      <c r="F73" s="2">
        <v>4250.0</v>
      </c>
      <c r="G73" s="2">
        <v>0.0</v>
      </c>
      <c r="H73" s="2">
        <v>0.0</v>
      </c>
      <c r="I73" s="2">
        <v>4250.0</v>
      </c>
      <c r="J73" s="2" t="str">
        <f t="array" ref="J73">_xlfn.XLOOKUP(C73,Customers!A:A,Customers!B:B)</f>
        <v>Emma Wilson</v>
      </c>
    </row>
    <row r="74" ht="15.75" customHeight="1">
      <c r="A74" s="2">
        <v>50073.0</v>
      </c>
      <c r="B74" s="3">
        <v>46184.0</v>
      </c>
      <c r="C74" s="2">
        <v>1009.0</v>
      </c>
      <c r="D74" s="2" t="s">
        <v>49</v>
      </c>
      <c r="E74" s="2">
        <v>3.0</v>
      </c>
      <c r="F74" s="2">
        <v>285.0</v>
      </c>
      <c r="G74" s="2">
        <v>15.0</v>
      </c>
      <c r="H74" s="2">
        <v>42.75</v>
      </c>
      <c r="I74" s="2">
        <v>242.25</v>
      </c>
      <c r="J74" s="2" t="str">
        <f t="array" ref="J74">_xlfn.XLOOKUP(C74,Customers!A:A,Customers!B:B)</f>
        <v>Alex Brown</v>
      </c>
    </row>
    <row r="75" ht="15.75" customHeight="1">
      <c r="A75" s="2">
        <v>50074.0</v>
      </c>
      <c r="B75" s="3">
        <v>46187.0</v>
      </c>
      <c r="C75" s="2">
        <v>1015.0</v>
      </c>
      <c r="D75" s="2" t="s">
        <v>35</v>
      </c>
      <c r="E75" s="2">
        <v>1.0</v>
      </c>
      <c r="F75" s="2">
        <v>280.0</v>
      </c>
      <c r="G75" s="2">
        <v>10.0</v>
      </c>
      <c r="H75" s="2">
        <v>28.0</v>
      </c>
      <c r="I75" s="2">
        <v>252.0</v>
      </c>
      <c r="J75" s="2" t="str">
        <f t="array" ref="J75">_xlfn.XLOOKUP(C75,Customers!A:A,Customers!B:B)</f>
        <v>Luca Ferrari</v>
      </c>
    </row>
    <row r="76" ht="15.75" customHeight="1">
      <c r="A76" s="2">
        <v>50075.0</v>
      </c>
      <c r="B76" s="3">
        <v>46189.0</v>
      </c>
      <c r="C76" s="2">
        <v>1013.0</v>
      </c>
      <c r="D76" s="2" t="s">
        <v>42</v>
      </c>
      <c r="E76" s="2">
        <v>1.0</v>
      </c>
      <c r="F76" s="2">
        <v>850.0</v>
      </c>
      <c r="G76" s="2">
        <v>10.0</v>
      </c>
      <c r="H76" s="2">
        <v>85.0</v>
      </c>
      <c r="I76" s="2">
        <v>765.0</v>
      </c>
      <c r="J76" s="2" t="str">
        <f t="array" ref="J76">_xlfn.XLOOKUP(C76,Customers!A:A,Customers!B:B)</f>
        <v>Emma Wilson</v>
      </c>
    </row>
    <row r="77" ht="15.75" customHeight="1">
      <c r="A77" s="2">
        <v>50076.0</v>
      </c>
      <c r="B77" s="3">
        <v>46191.0</v>
      </c>
      <c r="C77" s="2">
        <v>1001.0</v>
      </c>
      <c r="D77" s="2" t="s">
        <v>42</v>
      </c>
      <c r="E77" s="2">
        <v>3.0</v>
      </c>
      <c r="F77" s="2">
        <v>2550.0</v>
      </c>
      <c r="G77" s="2">
        <v>0.0</v>
      </c>
      <c r="H77" s="2">
        <v>0.0</v>
      </c>
      <c r="I77" s="2">
        <v>2550.0</v>
      </c>
      <c r="J77" s="2" t="str">
        <f t="array" ref="J77">_xlfn.XLOOKUP(C77,Customers!A:A,Customers!B:B)</f>
        <v>Aman Singh</v>
      </c>
    </row>
    <row r="78" ht="15.75" customHeight="1">
      <c r="A78" s="2">
        <v>50077.0</v>
      </c>
      <c r="B78" s="3">
        <v>46193.0</v>
      </c>
      <c r="C78" s="2">
        <v>1007.0</v>
      </c>
      <c r="D78" s="2" t="s">
        <v>42</v>
      </c>
      <c r="E78" s="2">
        <v>3.0</v>
      </c>
      <c r="F78" s="2">
        <v>2550.0</v>
      </c>
      <c r="G78" s="2">
        <v>0.0</v>
      </c>
      <c r="H78" s="2">
        <v>0.0</v>
      </c>
      <c r="I78" s="2">
        <v>2550.0</v>
      </c>
      <c r="J78" s="2" t="str">
        <f t="array" ref="J78">_xlfn.XLOOKUP(C78,Customers!A:A,Customers!B:B)</f>
        <v>Marco Bianchi</v>
      </c>
    </row>
    <row r="79" ht="15.75" customHeight="1">
      <c r="A79" s="2">
        <v>50078.0</v>
      </c>
      <c r="B79" s="3">
        <v>46195.0</v>
      </c>
      <c r="C79" s="2">
        <v>1009.0</v>
      </c>
      <c r="D79" s="2" t="s">
        <v>17</v>
      </c>
      <c r="E79" s="2">
        <v>3.0</v>
      </c>
      <c r="F79" s="2">
        <v>165.0</v>
      </c>
      <c r="G79" s="2">
        <v>0.0</v>
      </c>
      <c r="H79" s="2">
        <v>0.0</v>
      </c>
      <c r="I79" s="2">
        <v>165.0</v>
      </c>
      <c r="J79" s="2" t="str">
        <f t="array" ref="J79">_xlfn.XLOOKUP(C79,Customers!A:A,Customers!B:B)</f>
        <v>Alex Brown</v>
      </c>
    </row>
    <row r="80" ht="15.75" customHeight="1">
      <c r="A80" s="2">
        <v>50079.0</v>
      </c>
      <c r="B80" s="3">
        <v>46197.0</v>
      </c>
      <c r="C80" s="2">
        <v>1001.0</v>
      </c>
      <c r="D80" s="2" t="s">
        <v>35</v>
      </c>
      <c r="E80" s="2">
        <v>4.0</v>
      </c>
      <c r="F80" s="2">
        <v>1120.0</v>
      </c>
      <c r="G80" s="2">
        <v>5.0</v>
      </c>
      <c r="H80" s="2">
        <v>56.0</v>
      </c>
      <c r="I80" s="2">
        <v>1064.0</v>
      </c>
      <c r="J80" s="2" t="str">
        <f t="array" ref="J80">_xlfn.XLOOKUP(C80,Customers!A:A,Customers!B:B)</f>
        <v>Aman Singh</v>
      </c>
    </row>
    <row r="81" ht="15.75" customHeight="1">
      <c r="A81" s="2">
        <v>50080.0</v>
      </c>
      <c r="B81" s="3">
        <v>46200.0</v>
      </c>
      <c r="C81" s="2">
        <v>1012.0</v>
      </c>
      <c r="D81" s="2" t="s">
        <v>42</v>
      </c>
      <c r="E81" s="2">
        <v>1.0</v>
      </c>
      <c r="F81" s="2">
        <v>850.0</v>
      </c>
      <c r="G81" s="2">
        <v>0.0</v>
      </c>
      <c r="H81" s="2">
        <v>0.0</v>
      </c>
      <c r="I81" s="2">
        <v>850.0</v>
      </c>
      <c r="J81" s="2" t="str">
        <f t="array" ref="J81">_xlfn.XLOOKUP(C81,Customers!A:A,Customers!B:B)</f>
        <v>Raj Kumar</v>
      </c>
    </row>
    <row r="82" ht="15.75" customHeight="1">
      <c r="A82" s="2">
        <v>50081.0</v>
      </c>
      <c r="B82" s="3">
        <v>46202.0</v>
      </c>
      <c r="C82" s="2">
        <v>1008.0</v>
      </c>
      <c r="D82" s="2" t="s">
        <v>25</v>
      </c>
      <c r="E82" s="2">
        <v>4.0</v>
      </c>
      <c r="F82" s="2">
        <v>100.0</v>
      </c>
      <c r="G82" s="2">
        <v>10.0</v>
      </c>
      <c r="H82" s="2">
        <v>10.0</v>
      </c>
      <c r="I82" s="2">
        <v>90.0</v>
      </c>
      <c r="J82" s="2" t="str">
        <f t="array" ref="J82">_xlfn.XLOOKUP(C82,Customers!A:A,Customers!B:B)</f>
        <v>Priya Patel</v>
      </c>
    </row>
    <row r="83" ht="15.75" customHeight="1">
      <c r="A83" s="2">
        <v>50082.0</v>
      </c>
      <c r="B83" s="3">
        <v>46204.0</v>
      </c>
      <c r="C83" s="2">
        <v>1011.0</v>
      </c>
      <c r="D83" s="2" t="s">
        <v>46</v>
      </c>
      <c r="E83" s="2">
        <v>3.0</v>
      </c>
      <c r="F83" s="2">
        <v>225.0</v>
      </c>
      <c r="G83" s="2">
        <v>0.0</v>
      </c>
      <c r="H83" s="2">
        <v>0.0</v>
      </c>
      <c r="I83" s="2">
        <v>225.0</v>
      </c>
      <c r="J83" s="2" t="str">
        <f t="array" ref="J83">_xlfn.XLOOKUP(C83,Customers!A:A,Customers!B:B)</f>
        <v>Sofia Romano</v>
      </c>
    </row>
    <row r="84" ht="15.75" customHeight="1">
      <c r="A84" s="2">
        <v>50083.0</v>
      </c>
      <c r="B84" s="3">
        <v>46206.0</v>
      </c>
      <c r="C84" s="2">
        <v>1019.0</v>
      </c>
      <c r="D84" s="2" t="s">
        <v>42</v>
      </c>
      <c r="E84" s="2">
        <v>1.0</v>
      </c>
      <c r="F84" s="2">
        <v>850.0</v>
      </c>
      <c r="G84" s="2">
        <v>15.0</v>
      </c>
      <c r="H84" s="2">
        <v>127.5</v>
      </c>
      <c r="I84" s="2">
        <v>722.5</v>
      </c>
      <c r="J84" s="2" t="str">
        <f t="array" ref="J84">_xlfn.XLOOKUP(C84,Customers!A:A,Customers!B:B)</f>
        <v>Giulia Conti</v>
      </c>
    </row>
    <row r="85" ht="15.75" customHeight="1">
      <c r="A85" s="2">
        <v>50084.0</v>
      </c>
      <c r="B85" s="3">
        <v>46208.0</v>
      </c>
      <c r="C85" s="2">
        <v>1017.0</v>
      </c>
      <c r="D85" s="2" t="s">
        <v>17</v>
      </c>
      <c r="E85" s="2">
        <v>4.0</v>
      </c>
      <c r="F85" s="2">
        <v>220.0</v>
      </c>
      <c r="G85" s="2">
        <v>5.0</v>
      </c>
      <c r="H85" s="2">
        <v>11.0</v>
      </c>
      <c r="I85" s="2">
        <v>209.0</v>
      </c>
      <c r="J85" s="2" t="str">
        <f t="array" ref="J85">_xlfn.XLOOKUP(C85,Customers!A:A,Customers!B:B)</f>
        <v>David Smith</v>
      </c>
    </row>
    <row r="86" ht="15.75" customHeight="1">
      <c r="A86" s="2">
        <v>50085.0</v>
      </c>
      <c r="B86" s="3">
        <v>46211.0</v>
      </c>
      <c r="C86" s="2">
        <v>1008.0</v>
      </c>
      <c r="D86" s="2" t="s">
        <v>49</v>
      </c>
      <c r="E86" s="2">
        <v>4.0</v>
      </c>
      <c r="F86" s="2">
        <v>380.0</v>
      </c>
      <c r="G86" s="2">
        <v>10.0</v>
      </c>
      <c r="H86" s="2">
        <v>38.0</v>
      </c>
      <c r="I86" s="2">
        <v>342.0</v>
      </c>
      <c r="J86" s="2" t="str">
        <f t="array" ref="J86">_xlfn.XLOOKUP(C86,Customers!A:A,Customers!B:B)</f>
        <v>Priya Patel</v>
      </c>
    </row>
    <row r="87" ht="15.75" customHeight="1">
      <c r="A87" s="2">
        <v>50086.0</v>
      </c>
      <c r="B87" s="3">
        <v>46213.0</v>
      </c>
      <c r="C87" s="2">
        <v>1003.0</v>
      </c>
      <c r="D87" s="2" t="s">
        <v>35</v>
      </c>
      <c r="E87" s="2">
        <v>3.0</v>
      </c>
      <c r="F87" s="2">
        <v>840.0</v>
      </c>
      <c r="G87" s="2">
        <v>0.0</v>
      </c>
      <c r="H87" s="2">
        <v>0.0</v>
      </c>
      <c r="I87" s="2">
        <v>840.0</v>
      </c>
      <c r="J87" s="2" t="str">
        <f t="array" ref="J87">_xlfn.XLOOKUP(C87,Customers!A:A,Customers!B:B)</f>
        <v>John Miller</v>
      </c>
    </row>
    <row r="88" ht="15.75" customHeight="1">
      <c r="A88" s="2">
        <v>50087.0</v>
      </c>
      <c r="B88" s="3">
        <v>46215.0</v>
      </c>
      <c r="C88" s="2">
        <v>1003.0</v>
      </c>
      <c r="D88" s="2" t="s">
        <v>30</v>
      </c>
      <c r="E88" s="2">
        <v>1.0</v>
      </c>
      <c r="F88" s="2">
        <v>500.0</v>
      </c>
      <c r="G88" s="2">
        <v>0.0</v>
      </c>
      <c r="H88" s="2">
        <v>0.0</v>
      </c>
      <c r="I88" s="2">
        <v>500.0</v>
      </c>
      <c r="J88" s="2" t="str">
        <f t="array" ref="J88">_xlfn.XLOOKUP(C88,Customers!A:A,Customers!B:B)</f>
        <v>John Miller</v>
      </c>
    </row>
    <row r="89" ht="15.75" customHeight="1">
      <c r="A89" s="2">
        <v>50088.0</v>
      </c>
      <c r="B89" s="3">
        <v>46217.0</v>
      </c>
      <c r="C89" s="2">
        <v>1001.0</v>
      </c>
      <c r="D89" s="2" t="s">
        <v>17</v>
      </c>
      <c r="E89" s="2">
        <v>3.0</v>
      </c>
      <c r="F89" s="2">
        <v>165.0</v>
      </c>
      <c r="G89" s="2">
        <v>5.0</v>
      </c>
      <c r="H89" s="2">
        <v>8.25</v>
      </c>
      <c r="I89" s="2">
        <v>156.75</v>
      </c>
      <c r="J89" s="2" t="str">
        <f t="array" ref="J89">_xlfn.XLOOKUP(C89,Customers!A:A,Customers!B:B)</f>
        <v>Aman Singh</v>
      </c>
    </row>
    <row r="90" ht="15.75" customHeight="1">
      <c r="A90" s="2">
        <v>50089.0</v>
      </c>
      <c r="B90" s="3">
        <v>46219.0</v>
      </c>
      <c r="C90" s="2">
        <v>1005.0</v>
      </c>
      <c r="D90" s="2" t="s">
        <v>42</v>
      </c>
      <c r="E90" s="2">
        <v>1.0</v>
      </c>
      <c r="F90" s="2">
        <v>850.0</v>
      </c>
      <c r="G90" s="2">
        <v>0.0</v>
      </c>
      <c r="H90" s="2">
        <v>0.0</v>
      </c>
      <c r="I90" s="2">
        <v>850.0</v>
      </c>
      <c r="J90" s="2" t="str">
        <f t="array" ref="J90">_xlfn.XLOOKUP(C90,Customers!A:A,Customers!B:B)</f>
        <v>Daniel Rossi</v>
      </c>
    </row>
    <row r="91" ht="15.75" customHeight="1">
      <c r="A91" s="2">
        <v>50090.0</v>
      </c>
      <c r="B91" s="3">
        <v>46222.0</v>
      </c>
      <c r="C91" s="2">
        <v>1010.0</v>
      </c>
      <c r="D91" s="2" t="s">
        <v>35</v>
      </c>
      <c r="E91" s="2">
        <v>5.0</v>
      </c>
      <c r="F91" s="2">
        <v>1400.0</v>
      </c>
      <c r="G91" s="2">
        <v>0.0</v>
      </c>
      <c r="H91" s="2">
        <v>0.0</v>
      </c>
      <c r="I91" s="2">
        <v>1400.0</v>
      </c>
      <c r="J91" s="2" t="str">
        <f t="array" ref="J91">_xlfn.XLOOKUP(C91,Customers!A:A,Customers!B:B)</f>
        <v>Harpreet Kaur</v>
      </c>
    </row>
    <row r="92" ht="15.75" customHeight="1">
      <c r="A92" s="2">
        <v>50091.0</v>
      </c>
      <c r="B92" s="3">
        <v>46224.0</v>
      </c>
      <c r="C92" s="2">
        <v>1007.0</v>
      </c>
      <c r="D92" s="2" t="s">
        <v>46</v>
      </c>
      <c r="E92" s="2">
        <v>2.0</v>
      </c>
      <c r="F92" s="2">
        <v>150.0</v>
      </c>
      <c r="G92" s="2">
        <v>15.0</v>
      </c>
      <c r="H92" s="2">
        <v>22.5</v>
      </c>
      <c r="I92" s="2">
        <v>127.5</v>
      </c>
      <c r="J92" s="2" t="str">
        <f t="array" ref="J92">_xlfn.XLOOKUP(C92,Customers!A:A,Customers!B:B)</f>
        <v>Marco Bianchi</v>
      </c>
    </row>
    <row r="93" ht="15.75" customHeight="1">
      <c r="A93" s="2">
        <v>50092.0</v>
      </c>
      <c r="B93" s="3">
        <v>46226.0</v>
      </c>
      <c r="C93" s="2">
        <v>1009.0</v>
      </c>
      <c r="D93" s="2" t="s">
        <v>42</v>
      </c>
      <c r="E93" s="2">
        <v>2.0</v>
      </c>
      <c r="F93" s="2">
        <v>1700.0</v>
      </c>
      <c r="G93" s="2">
        <v>10.0</v>
      </c>
      <c r="H93" s="2">
        <v>170.0</v>
      </c>
      <c r="I93" s="2">
        <v>1530.0</v>
      </c>
      <c r="J93" s="2" t="str">
        <f t="array" ref="J93">_xlfn.XLOOKUP(C93,Customers!A:A,Customers!B:B)</f>
        <v>Alex Brown</v>
      </c>
    </row>
    <row r="94" ht="15.75" customHeight="1">
      <c r="A94" s="2">
        <v>50093.0</v>
      </c>
      <c r="B94" s="3">
        <v>46228.0</v>
      </c>
      <c r="C94" s="2">
        <v>1007.0</v>
      </c>
      <c r="D94" s="2" t="s">
        <v>17</v>
      </c>
      <c r="E94" s="2">
        <v>2.0</v>
      </c>
      <c r="F94" s="2">
        <v>110.0</v>
      </c>
      <c r="G94" s="2">
        <v>0.0</v>
      </c>
      <c r="H94" s="2">
        <v>0.0</v>
      </c>
      <c r="I94" s="2">
        <v>110.0</v>
      </c>
      <c r="J94" s="2" t="str">
        <f t="array" ref="J94">_xlfn.XLOOKUP(C94,Customers!A:A,Customers!B:B)</f>
        <v>Marco Bianchi</v>
      </c>
    </row>
    <row r="95" ht="15.75" customHeight="1">
      <c r="A95" s="2">
        <v>50094.0</v>
      </c>
      <c r="B95" s="3">
        <v>46230.0</v>
      </c>
      <c r="C95" s="2">
        <v>1009.0</v>
      </c>
      <c r="D95" s="2" t="s">
        <v>55</v>
      </c>
      <c r="E95" s="2">
        <v>3.0</v>
      </c>
      <c r="F95" s="2">
        <v>960.0</v>
      </c>
      <c r="G95" s="2">
        <v>0.0</v>
      </c>
      <c r="H95" s="2">
        <v>0.0</v>
      </c>
      <c r="I95" s="2">
        <v>960.0</v>
      </c>
      <c r="J95" s="2" t="str">
        <f t="array" ref="J95">_xlfn.XLOOKUP(C95,Customers!A:A,Customers!B:B)</f>
        <v>Alex Brown</v>
      </c>
    </row>
    <row r="96" ht="15.75" customHeight="1">
      <c r="A96" s="2">
        <v>50095.0</v>
      </c>
      <c r="B96" s="3">
        <v>46233.0</v>
      </c>
      <c r="C96" s="2">
        <v>1008.0</v>
      </c>
      <c r="D96" s="2" t="s">
        <v>25</v>
      </c>
      <c r="E96" s="2">
        <v>5.0</v>
      </c>
      <c r="F96" s="2">
        <v>125.0</v>
      </c>
      <c r="G96" s="2">
        <v>0.0</v>
      </c>
      <c r="H96" s="2">
        <v>0.0</v>
      </c>
      <c r="I96" s="2">
        <v>125.0</v>
      </c>
      <c r="J96" s="2" t="str">
        <f t="array" ref="J96">_xlfn.XLOOKUP(C96,Customers!A:A,Customers!B:B)</f>
        <v>Priya Patel</v>
      </c>
    </row>
    <row r="97" ht="15.75" customHeight="1">
      <c r="A97" s="2">
        <v>50096.0</v>
      </c>
      <c r="B97" s="3">
        <v>46235.0</v>
      </c>
      <c r="C97" s="2">
        <v>1012.0</v>
      </c>
      <c r="D97" s="2" t="s">
        <v>30</v>
      </c>
      <c r="E97" s="2">
        <v>1.0</v>
      </c>
      <c r="F97" s="2">
        <v>500.0</v>
      </c>
      <c r="G97" s="2">
        <v>10.0</v>
      </c>
      <c r="H97" s="2">
        <v>50.0</v>
      </c>
      <c r="I97" s="2">
        <v>450.0</v>
      </c>
      <c r="J97" s="2" t="str">
        <f t="array" ref="J97">_xlfn.XLOOKUP(C97,Customers!A:A,Customers!B:B)</f>
        <v>Raj Kumar</v>
      </c>
    </row>
    <row r="98" ht="15.75" customHeight="1">
      <c r="A98" s="2">
        <v>50097.0</v>
      </c>
      <c r="B98" s="3">
        <v>46237.0</v>
      </c>
      <c r="C98" s="2">
        <v>1002.0</v>
      </c>
      <c r="D98" s="2" t="s">
        <v>49</v>
      </c>
      <c r="E98" s="2">
        <v>4.0</v>
      </c>
      <c r="F98" s="2">
        <v>380.0</v>
      </c>
      <c r="G98" s="2">
        <v>0.0</v>
      </c>
      <c r="H98" s="2">
        <v>0.0</v>
      </c>
      <c r="I98" s="2">
        <v>380.0</v>
      </c>
      <c r="J98" s="2" t="str">
        <f t="array" ref="J98">_xlfn.XLOOKUP(C98,Customers!A:A,Customers!B:B)</f>
        <v>Sara Khan</v>
      </c>
    </row>
    <row r="99" ht="15.75" customHeight="1">
      <c r="A99" s="2">
        <v>50098.0</v>
      </c>
      <c r="B99" s="3">
        <v>46239.0</v>
      </c>
      <c r="C99" s="2">
        <v>1001.0</v>
      </c>
      <c r="D99" s="2" t="s">
        <v>17</v>
      </c>
      <c r="E99" s="2">
        <v>1.0</v>
      </c>
      <c r="F99" s="2">
        <v>55.0</v>
      </c>
      <c r="G99" s="2">
        <v>0.0</v>
      </c>
      <c r="H99" s="2">
        <v>0.0</v>
      </c>
      <c r="I99" s="2">
        <v>55.0</v>
      </c>
      <c r="J99" s="2" t="str">
        <f t="array" ref="J99">_xlfn.XLOOKUP(C99,Customers!A:A,Customers!B:B)</f>
        <v>Aman Singh</v>
      </c>
    </row>
    <row r="100" ht="15.75" customHeight="1">
      <c r="A100" s="2">
        <v>50099.0</v>
      </c>
      <c r="B100" s="3">
        <v>46241.0</v>
      </c>
      <c r="C100" s="2">
        <v>1016.0</v>
      </c>
      <c r="D100" s="2" t="s">
        <v>35</v>
      </c>
      <c r="E100" s="2">
        <v>4.0</v>
      </c>
      <c r="F100" s="2">
        <v>1120.0</v>
      </c>
      <c r="G100" s="2">
        <v>0.0</v>
      </c>
      <c r="H100" s="2">
        <v>0.0</v>
      </c>
      <c r="I100" s="2">
        <v>1120.0</v>
      </c>
      <c r="J100" s="2" t="str">
        <f t="array" ref="J100">_xlfn.XLOOKUP(C100,Customers!A:A,Customers!B:B)</f>
        <v>Anita Verma</v>
      </c>
    </row>
    <row r="101" ht="15.75" customHeight="1">
      <c r="A101" s="2">
        <v>50100.0</v>
      </c>
      <c r="B101" s="3">
        <v>46244.0</v>
      </c>
      <c r="C101" s="2">
        <v>1005.0</v>
      </c>
      <c r="D101" s="2" t="s">
        <v>30</v>
      </c>
      <c r="E101" s="2">
        <v>1.0</v>
      </c>
      <c r="F101" s="2">
        <v>500.0</v>
      </c>
      <c r="G101" s="2">
        <v>0.0</v>
      </c>
      <c r="H101" s="2">
        <v>0.0</v>
      </c>
      <c r="I101" s="2">
        <v>500.0</v>
      </c>
      <c r="J101" s="2" t="str">
        <f t="array" ref="J101">_xlfn.XLOOKUP(C101,Customers!A:A,Customers!B:B)</f>
        <v>Daniel Rossi</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0790B26-20CD-46FA-8034-DE0909A9D8E8}" filter="1" showAutoFilter="1">
      <autoFilter ref="$A$1:$I$101"/>
      <extLst>
        <ext uri="GoogleSheetsCustomDataVersion1">
          <go:sheetsCustomData xmlns:go="http://customooxmlschemas.google.com/" filterViewId="1005370195"/>
        </ext>
      </extLst>
    </customSheetView>
    <customSheetView guid="{D0790B26-20CD-46FA-8034-DE0909A9D8E8}" filter="1" showAutoFilter="1">
      <autoFilter ref="$A$1:$I$101"/>
      <extLst>
        <ext uri="GoogleSheetsCustomDataVersion1">
          <go:sheetsCustomData xmlns:go="http://customooxmlschemas.google.com/" filterViewId="1291784441"/>
        </ext>
      </extLst>
    </customSheetView>
  </customSheetViews>
  <printOptions/>
  <pageMargins bottom="1.0" footer="0.0" header="0.0" left="0.75" right="0.75" top="1.0"/>
  <pageSetup orientation="landscape"/>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5" t="s">
        <v>52</v>
      </c>
      <c r="B1" s="1" t="s">
        <v>9</v>
      </c>
      <c r="C1" s="1" t="s">
        <v>10</v>
      </c>
      <c r="D1" s="1" t="s">
        <v>11</v>
      </c>
    </row>
    <row r="2">
      <c r="A2" s="2">
        <v>1001.0</v>
      </c>
      <c r="B2" s="2" t="s">
        <v>62</v>
      </c>
      <c r="C2" s="2" t="s">
        <v>19</v>
      </c>
      <c r="D2" s="2" t="s">
        <v>28</v>
      </c>
    </row>
    <row r="3">
      <c r="A3" s="2">
        <v>1002.0</v>
      </c>
      <c r="B3" s="2" t="s">
        <v>57</v>
      </c>
      <c r="C3" s="2" t="s">
        <v>27</v>
      </c>
      <c r="D3" s="2" t="s">
        <v>20</v>
      </c>
    </row>
    <row r="4">
      <c r="A4" s="2">
        <v>1003.0</v>
      </c>
      <c r="B4" s="2" t="s">
        <v>54</v>
      </c>
      <c r="C4" s="2" t="s">
        <v>32</v>
      </c>
      <c r="D4" s="2" t="s">
        <v>28</v>
      </c>
    </row>
    <row r="5">
      <c r="A5" s="2">
        <v>1004.0</v>
      </c>
      <c r="B5" s="2" t="s">
        <v>50</v>
      </c>
      <c r="C5" s="2" t="s">
        <v>19</v>
      </c>
      <c r="D5" s="2" t="s">
        <v>28</v>
      </c>
    </row>
    <row r="6">
      <c r="A6" s="2">
        <v>1005.0</v>
      </c>
      <c r="B6" s="2" t="s">
        <v>63</v>
      </c>
      <c r="C6" s="2" t="s">
        <v>59</v>
      </c>
      <c r="D6" s="2" t="s">
        <v>20</v>
      </c>
    </row>
    <row r="7">
      <c r="A7" s="2">
        <v>1006.0</v>
      </c>
      <c r="B7" s="2" t="s">
        <v>61</v>
      </c>
      <c r="C7" s="2" t="s">
        <v>27</v>
      </c>
      <c r="D7" s="2" t="s">
        <v>28</v>
      </c>
    </row>
    <row r="8">
      <c r="A8" s="2">
        <v>1007.0</v>
      </c>
      <c r="B8" s="2" t="s">
        <v>18</v>
      </c>
      <c r="C8" s="2" t="s">
        <v>19</v>
      </c>
      <c r="D8" s="2" t="s">
        <v>20</v>
      </c>
    </row>
    <row r="9">
      <c r="A9" s="2">
        <v>1008.0</v>
      </c>
      <c r="B9" s="2" t="s">
        <v>39</v>
      </c>
      <c r="C9" s="2" t="s">
        <v>40</v>
      </c>
      <c r="D9" s="2" t="s">
        <v>28</v>
      </c>
    </row>
    <row r="10">
      <c r="A10" s="2">
        <v>1009.0</v>
      </c>
      <c r="B10" s="2" t="s">
        <v>64</v>
      </c>
      <c r="C10" s="2" t="s">
        <v>32</v>
      </c>
      <c r="D10" s="2" t="s">
        <v>20</v>
      </c>
    </row>
    <row r="11">
      <c r="A11" s="2">
        <v>1010.0</v>
      </c>
      <c r="B11" s="2" t="s">
        <v>65</v>
      </c>
      <c r="C11" s="2" t="s">
        <v>19</v>
      </c>
      <c r="D11" s="2" t="s">
        <v>28</v>
      </c>
    </row>
    <row r="12">
      <c r="A12" s="2">
        <v>1011.0</v>
      </c>
      <c r="B12" s="2" t="s">
        <v>36</v>
      </c>
      <c r="C12" s="2" t="s">
        <v>27</v>
      </c>
      <c r="D12" s="2" t="s">
        <v>28</v>
      </c>
    </row>
    <row r="13">
      <c r="A13" s="2">
        <v>1012.0</v>
      </c>
      <c r="B13" s="2" t="s">
        <v>58</v>
      </c>
      <c r="C13" s="2" t="s">
        <v>59</v>
      </c>
      <c r="D13" s="2" t="s">
        <v>20</v>
      </c>
    </row>
    <row r="14">
      <c r="A14" s="2">
        <v>1013.0</v>
      </c>
      <c r="B14" s="2" t="s">
        <v>67</v>
      </c>
      <c r="C14" s="2" t="s">
        <v>40</v>
      </c>
      <c r="D14" s="2" t="s">
        <v>28</v>
      </c>
    </row>
    <row r="15">
      <c r="A15" s="2">
        <v>1014.0</v>
      </c>
      <c r="B15" s="2" t="s">
        <v>68</v>
      </c>
      <c r="C15" s="2" t="s">
        <v>19</v>
      </c>
      <c r="D15" s="2" t="s">
        <v>20</v>
      </c>
    </row>
    <row r="16">
      <c r="A16" s="2">
        <v>1015.0</v>
      </c>
      <c r="B16" s="2" t="s">
        <v>31</v>
      </c>
      <c r="C16" s="2" t="s">
        <v>32</v>
      </c>
      <c r="D16" s="2" t="s">
        <v>28</v>
      </c>
    </row>
    <row r="17">
      <c r="A17" s="2">
        <v>1016.0</v>
      </c>
      <c r="B17" s="2" t="s">
        <v>69</v>
      </c>
      <c r="C17" s="2" t="s">
        <v>27</v>
      </c>
      <c r="D17" s="2" t="s">
        <v>28</v>
      </c>
    </row>
    <row r="18">
      <c r="A18" s="2">
        <v>1017.0</v>
      </c>
      <c r="B18" s="2" t="s">
        <v>66</v>
      </c>
      <c r="C18" s="2" t="s">
        <v>59</v>
      </c>
      <c r="D18" s="2" t="s">
        <v>20</v>
      </c>
    </row>
    <row r="19">
      <c r="A19" s="2">
        <v>1018.0</v>
      </c>
      <c r="B19" s="2" t="s">
        <v>70</v>
      </c>
      <c r="C19" s="2" t="s">
        <v>40</v>
      </c>
      <c r="D19" s="2" t="s">
        <v>28</v>
      </c>
    </row>
    <row r="20">
      <c r="A20" s="2">
        <v>1019.0</v>
      </c>
      <c r="B20" s="2" t="s">
        <v>43</v>
      </c>
      <c r="C20" s="2" t="s">
        <v>19</v>
      </c>
      <c r="D20" s="2" t="s">
        <v>20</v>
      </c>
    </row>
    <row r="21" ht="15.75" customHeight="1">
      <c r="A21" s="2">
        <v>1020.0</v>
      </c>
      <c r="B21" s="2" t="s">
        <v>26</v>
      </c>
      <c r="C21" s="2" t="s">
        <v>27</v>
      </c>
      <c r="D21" s="2" t="s">
        <v>28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0790B26-20CD-46FA-8034-DE0909A9D8E8}" filter="1" showAutoFilter="1">
      <autoFilter ref="$A$1:$D$21"/>
      <extLst>
        <ext uri="GoogleSheetsCustomDataVersion1">
          <go:sheetsCustomData xmlns:go="http://customooxmlschemas.google.com/" filterViewId="1731264276"/>
        </ext>
      </extLst>
    </customSheetView>
    <customSheetView guid="{D0790B26-20CD-46FA-8034-DE0909A9D8E8}" filter="1" showAutoFilter="1">
      <autoFilter ref="$A$1:$D$21"/>
      <extLst>
        <ext uri="GoogleSheetsCustomDataVersion1">
          <go:sheetsCustomData xmlns:go="http://customooxmlschemas.google.com/" filterViewId="495856231"/>
        </ext>
      </extLst>
    </customSheetView>
  </customSheetViews>
  <printOptions/>
  <pageMargins bottom="1.0" footer="0.0" header="0.0" left="0.75" right="0.75" top="1.0"/>
  <pageSetup orientation="landscape"/>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v>
      </c>
      <c r="B1" s="1" t="s">
        <v>12</v>
      </c>
      <c r="C1" s="1" t="s">
        <v>13</v>
      </c>
      <c r="D1" s="1" t="s">
        <v>14</v>
      </c>
      <c r="E1" s="4" t="s">
        <v>41</v>
      </c>
    </row>
    <row r="2">
      <c r="A2" s="2" t="s">
        <v>42</v>
      </c>
      <c r="B2" s="2" t="s">
        <v>44</v>
      </c>
      <c r="C2" s="2" t="s">
        <v>34</v>
      </c>
      <c r="D2" s="2">
        <v>850.0</v>
      </c>
      <c r="E2" s="2">
        <f t="array" ref="E2">_xlfn.XLOOKUP(A2,Orders!D:D,Orders!I:I)</f>
        <v>3230</v>
      </c>
    </row>
    <row r="3">
      <c r="A3" s="2" t="s">
        <v>55</v>
      </c>
      <c r="B3" s="2" t="s">
        <v>56</v>
      </c>
      <c r="C3" s="2" t="s">
        <v>34</v>
      </c>
      <c r="D3" s="2">
        <v>320.0</v>
      </c>
      <c r="E3" s="2">
        <f t="array" ref="E3">_xlfn.XLOOKUP(A3,Orders!D:D,Orders!I:I)</f>
        <v>320</v>
      </c>
    </row>
    <row r="4">
      <c r="A4" s="2" t="s">
        <v>17</v>
      </c>
      <c r="B4" s="2" t="s">
        <v>21</v>
      </c>
      <c r="C4" s="2" t="s">
        <v>22</v>
      </c>
      <c r="D4" s="2">
        <v>55.0</v>
      </c>
      <c r="E4" s="2">
        <f t="array" ref="E4">_xlfn.XLOOKUP(A4,Orders!D:D,Orders!I:I)</f>
        <v>52.25</v>
      </c>
    </row>
    <row r="5">
      <c r="A5" s="2" t="s">
        <v>25</v>
      </c>
      <c r="B5" s="2" t="s">
        <v>29</v>
      </c>
      <c r="C5" s="2" t="s">
        <v>22</v>
      </c>
      <c r="D5" s="2">
        <v>25.0</v>
      </c>
      <c r="E5" s="2">
        <f t="array" ref="E5">_xlfn.XLOOKUP(A5,Orders!D:D,Orders!I:I)</f>
        <v>100</v>
      </c>
    </row>
    <row r="6">
      <c r="A6" s="2" t="s">
        <v>46</v>
      </c>
      <c r="B6" s="2" t="s">
        <v>47</v>
      </c>
      <c r="C6" s="2" t="s">
        <v>22</v>
      </c>
      <c r="D6" s="2">
        <v>75.0</v>
      </c>
      <c r="E6" s="2">
        <f t="array" ref="E6">_xlfn.XLOOKUP(A6,Orders!D:D,Orders!I:I)</f>
        <v>213.75</v>
      </c>
    </row>
    <row r="7">
      <c r="A7" s="2" t="s">
        <v>35</v>
      </c>
      <c r="B7" s="2" t="s">
        <v>37</v>
      </c>
      <c r="C7" s="2" t="s">
        <v>38</v>
      </c>
      <c r="D7" s="2">
        <v>280.0</v>
      </c>
      <c r="E7" s="2">
        <f t="array" ref="E7">_xlfn.XLOOKUP(A7,Orders!D:D,Orders!I:I)</f>
        <v>252</v>
      </c>
    </row>
    <row r="8">
      <c r="A8" s="2" t="s">
        <v>49</v>
      </c>
      <c r="B8" s="2" t="s">
        <v>51</v>
      </c>
      <c r="C8" s="2" t="s">
        <v>34</v>
      </c>
      <c r="D8" s="2">
        <v>95.0</v>
      </c>
      <c r="E8" s="2">
        <f t="array" ref="E8">_xlfn.XLOOKUP(A8,Orders!D:D,Orders!I:I)</f>
        <v>95</v>
      </c>
    </row>
    <row r="9">
      <c r="A9" s="2" t="s">
        <v>30</v>
      </c>
      <c r="B9" s="2" t="s">
        <v>33</v>
      </c>
      <c r="C9" s="2" t="s">
        <v>34</v>
      </c>
      <c r="D9" s="2">
        <v>500.0</v>
      </c>
      <c r="E9" s="2">
        <f t="array" ref="E9">_xlfn.XLOOKUP(A9,Orders!D:D,Orders!I:I)</f>
        <v>500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0790B26-20CD-46FA-8034-DE0909A9D8E8}" filter="1" showAutoFilter="1">
      <autoFilter ref="$A$1:$D$9"/>
      <extLst>
        <ext uri="GoogleSheetsCustomDataVersion1">
          <go:sheetsCustomData xmlns:go="http://customooxmlschemas.google.com/" filterViewId="104284961"/>
        </ext>
      </extLst>
    </customSheetView>
    <customSheetView guid="{D0790B26-20CD-46FA-8034-DE0909A9D8E8}" filter="1" showAutoFilter="1">
      <autoFilter ref="$A$1:$D$9"/>
      <extLst>
        <ext uri="GoogleSheetsCustomDataVersion1">
          <go:sheetsCustomData xmlns:go="http://customooxmlschemas.google.com/" filterViewId="1064855793"/>
        </ext>
      </extLst>
    </customSheetView>
  </customSheetViews>
  <printOptions/>
  <pageMargins bottom="1.0" footer="0.0" header="0.0" left="0.75" right="0.75" top="1.0"/>
  <pageSetup orientation="landscape"/>
  <drawing r:id="rId1"/>
  <tableParts count="1">
    <tablePart r:id="rId3"/>
  </tableParts>
  <extLst>
    <ext uri="{3A4CF648-6AED-40f4-86FF-DC5316D8AED3}">
      <x14:slicerList>
        <x14:slicer r:id="rId4"/>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v>50001.0</v>
      </c>
      <c r="B2" s="3">
        <v>46027.0</v>
      </c>
      <c r="C2" s="2">
        <v>1007.0</v>
      </c>
      <c r="D2" s="2" t="s">
        <v>17</v>
      </c>
      <c r="E2" s="2">
        <v>1.0</v>
      </c>
      <c r="F2" s="2">
        <v>55.0</v>
      </c>
      <c r="G2" s="2">
        <v>5.0</v>
      </c>
      <c r="H2" s="2">
        <v>2.75</v>
      </c>
      <c r="I2" s="2">
        <v>52.25</v>
      </c>
      <c r="J2" s="2" t="s">
        <v>18</v>
      </c>
      <c r="K2" s="2" t="s">
        <v>19</v>
      </c>
      <c r="L2" s="2" t="s">
        <v>20</v>
      </c>
      <c r="M2" s="2" t="s">
        <v>21</v>
      </c>
      <c r="N2" s="2" t="s">
        <v>22</v>
      </c>
      <c r="O2" s="2">
        <v>55.0</v>
      </c>
      <c r="P2" s="2" t="s">
        <v>23</v>
      </c>
      <c r="Q2" s="2" t="s">
        <v>24</v>
      </c>
    </row>
    <row r="3">
      <c r="A3" s="2">
        <v>50002.0</v>
      </c>
      <c r="B3" s="3">
        <v>46029.0</v>
      </c>
      <c r="C3" s="2">
        <v>1020.0</v>
      </c>
      <c r="D3" s="2" t="s">
        <v>25</v>
      </c>
      <c r="E3" s="2">
        <v>4.0</v>
      </c>
      <c r="F3" s="2">
        <v>100.0</v>
      </c>
      <c r="G3" s="2">
        <v>0.0</v>
      </c>
      <c r="H3" s="2">
        <v>0.0</v>
      </c>
      <c r="I3" s="2">
        <v>100.0</v>
      </c>
      <c r="J3" s="2" t="s">
        <v>26</v>
      </c>
      <c r="K3" s="2" t="s">
        <v>27</v>
      </c>
      <c r="L3" s="2" t="s">
        <v>28</v>
      </c>
      <c r="M3" s="2" t="s">
        <v>29</v>
      </c>
      <c r="N3" s="2" t="s">
        <v>22</v>
      </c>
      <c r="O3" s="2">
        <v>25.0</v>
      </c>
      <c r="P3" s="2" t="s">
        <v>23</v>
      </c>
      <c r="Q3" s="2" t="s">
        <v>24</v>
      </c>
    </row>
    <row r="4">
      <c r="A4" s="2">
        <v>50003.0</v>
      </c>
      <c r="B4" s="3">
        <v>46031.0</v>
      </c>
      <c r="C4" s="2">
        <v>1015.0</v>
      </c>
      <c r="D4" s="2" t="s">
        <v>30</v>
      </c>
      <c r="E4" s="2">
        <v>1.0</v>
      </c>
      <c r="F4" s="2">
        <v>500.0</v>
      </c>
      <c r="G4" s="2">
        <v>0.0</v>
      </c>
      <c r="H4" s="2">
        <v>0.0</v>
      </c>
      <c r="I4" s="2">
        <v>500.0</v>
      </c>
      <c r="J4" s="2" t="s">
        <v>31</v>
      </c>
      <c r="K4" s="2" t="s">
        <v>32</v>
      </c>
      <c r="L4" s="2" t="s">
        <v>28</v>
      </c>
      <c r="M4" s="2" t="s">
        <v>33</v>
      </c>
      <c r="N4" s="2" t="s">
        <v>34</v>
      </c>
      <c r="O4" s="2">
        <v>500.0</v>
      </c>
      <c r="P4" s="2" t="s">
        <v>23</v>
      </c>
      <c r="Q4" s="2" t="s">
        <v>24</v>
      </c>
    </row>
    <row r="5">
      <c r="A5" s="2">
        <v>50004.0</v>
      </c>
      <c r="B5" s="3">
        <v>46033.0</v>
      </c>
      <c r="C5" s="2">
        <v>1011.0</v>
      </c>
      <c r="D5" s="2" t="s">
        <v>35</v>
      </c>
      <c r="E5" s="2">
        <v>1.0</v>
      </c>
      <c r="F5" s="2">
        <v>280.0</v>
      </c>
      <c r="G5" s="2">
        <v>10.0</v>
      </c>
      <c r="H5" s="2">
        <v>28.0</v>
      </c>
      <c r="I5" s="2">
        <v>252.0</v>
      </c>
      <c r="J5" s="2" t="s">
        <v>36</v>
      </c>
      <c r="K5" s="2" t="s">
        <v>27</v>
      </c>
      <c r="L5" s="2" t="s">
        <v>28</v>
      </c>
      <c r="M5" s="2" t="s">
        <v>37</v>
      </c>
      <c r="N5" s="2" t="s">
        <v>38</v>
      </c>
      <c r="O5" s="2">
        <v>280.0</v>
      </c>
      <c r="P5" s="2" t="s">
        <v>23</v>
      </c>
      <c r="Q5" s="2" t="s">
        <v>24</v>
      </c>
    </row>
    <row r="6">
      <c r="A6" s="2">
        <v>50005.0</v>
      </c>
      <c r="B6" s="3">
        <v>46035.0</v>
      </c>
      <c r="C6" s="2">
        <v>1008.0</v>
      </c>
      <c r="D6" s="2" t="s">
        <v>17</v>
      </c>
      <c r="E6" s="2">
        <v>2.0</v>
      </c>
      <c r="F6" s="2">
        <v>110.0</v>
      </c>
      <c r="G6" s="2">
        <v>10.0</v>
      </c>
      <c r="H6" s="2">
        <v>11.0</v>
      </c>
      <c r="I6" s="2">
        <v>99.0</v>
      </c>
      <c r="J6" s="2" t="s">
        <v>39</v>
      </c>
      <c r="K6" s="2" t="s">
        <v>40</v>
      </c>
      <c r="L6" s="2" t="s">
        <v>28</v>
      </c>
      <c r="M6" s="2" t="s">
        <v>21</v>
      </c>
      <c r="N6" s="2" t="s">
        <v>22</v>
      </c>
      <c r="O6" s="2">
        <v>55.0</v>
      </c>
      <c r="P6" s="2" t="s">
        <v>23</v>
      </c>
      <c r="Q6" s="2" t="s">
        <v>24</v>
      </c>
    </row>
    <row r="7">
      <c r="A7" s="2">
        <v>50006.0</v>
      </c>
      <c r="B7" s="3">
        <v>46037.0</v>
      </c>
      <c r="C7" s="2">
        <v>1007.0</v>
      </c>
      <c r="D7" s="2" t="s">
        <v>17</v>
      </c>
      <c r="E7" s="2">
        <v>4.0</v>
      </c>
      <c r="F7" s="2">
        <v>220.0</v>
      </c>
      <c r="G7" s="2">
        <v>0.0</v>
      </c>
      <c r="H7" s="2">
        <v>0.0</v>
      </c>
      <c r="I7" s="2">
        <v>220.0</v>
      </c>
      <c r="J7" s="2" t="s">
        <v>18</v>
      </c>
      <c r="K7" s="2" t="s">
        <v>19</v>
      </c>
      <c r="L7" s="2" t="s">
        <v>20</v>
      </c>
      <c r="M7" s="2" t="s">
        <v>21</v>
      </c>
      <c r="N7" s="2" t="s">
        <v>22</v>
      </c>
      <c r="O7" s="2">
        <v>55.0</v>
      </c>
      <c r="P7" s="2" t="s">
        <v>23</v>
      </c>
      <c r="Q7" s="2" t="s">
        <v>24</v>
      </c>
    </row>
    <row r="8">
      <c r="A8" s="2">
        <v>50007.0</v>
      </c>
      <c r="B8" s="3">
        <v>46040.0</v>
      </c>
      <c r="C8" s="2">
        <v>1019.0</v>
      </c>
      <c r="D8" s="2" t="s">
        <v>42</v>
      </c>
      <c r="E8" s="2">
        <v>4.0</v>
      </c>
      <c r="F8" s="2">
        <v>3400.0</v>
      </c>
      <c r="G8" s="2">
        <v>5.0</v>
      </c>
      <c r="H8" s="2">
        <v>170.0</v>
      </c>
      <c r="I8" s="2">
        <v>3230.0</v>
      </c>
      <c r="J8" s="2" t="s">
        <v>43</v>
      </c>
      <c r="K8" s="2" t="s">
        <v>19</v>
      </c>
      <c r="L8" s="2" t="s">
        <v>20</v>
      </c>
      <c r="M8" s="2" t="s">
        <v>44</v>
      </c>
      <c r="N8" s="2" t="s">
        <v>34</v>
      </c>
      <c r="O8" s="2">
        <v>850.0</v>
      </c>
      <c r="P8" s="2" t="s">
        <v>23</v>
      </c>
      <c r="Q8" s="2" t="s">
        <v>45</v>
      </c>
    </row>
    <row r="9">
      <c r="A9" s="2">
        <v>50008.0</v>
      </c>
      <c r="B9" s="3">
        <v>46042.0</v>
      </c>
      <c r="C9" s="2">
        <v>1011.0</v>
      </c>
      <c r="D9" s="2" t="s">
        <v>17</v>
      </c>
      <c r="E9" s="2">
        <v>2.0</v>
      </c>
      <c r="F9" s="2">
        <v>110.0</v>
      </c>
      <c r="H9" s="2">
        <v>0.0</v>
      </c>
      <c r="I9" s="2">
        <v>110.0</v>
      </c>
      <c r="J9" s="2" t="s">
        <v>36</v>
      </c>
      <c r="K9" s="2" t="s">
        <v>27</v>
      </c>
      <c r="L9" s="2" t="s">
        <v>28</v>
      </c>
      <c r="M9" s="2" t="s">
        <v>21</v>
      </c>
      <c r="N9" s="2" t="s">
        <v>22</v>
      </c>
      <c r="O9" s="2">
        <v>55.0</v>
      </c>
      <c r="P9" s="2" t="s">
        <v>23</v>
      </c>
      <c r="Q9" s="2" t="s">
        <v>24</v>
      </c>
    </row>
    <row r="10">
      <c r="A10" s="2">
        <v>50009.0</v>
      </c>
      <c r="B10" s="3">
        <v>46044.0</v>
      </c>
      <c r="C10" s="2">
        <v>1011.0</v>
      </c>
      <c r="D10" s="2" t="s">
        <v>46</v>
      </c>
      <c r="E10" s="2">
        <v>3.0</v>
      </c>
      <c r="F10" s="2">
        <v>225.0</v>
      </c>
      <c r="G10" s="2">
        <v>5.0</v>
      </c>
      <c r="H10" s="2">
        <v>11.25</v>
      </c>
      <c r="I10" s="2">
        <v>213.75</v>
      </c>
      <c r="J10" s="2" t="s">
        <v>36</v>
      </c>
      <c r="K10" s="2" t="s">
        <v>27</v>
      </c>
      <c r="L10" s="2" t="s">
        <v>28</v>
      </c>
      <c r="M10" s="2" t="s">
        <v>47</v>
      </c>
      <c r="N10" s="2" t="s">
        <v>22</v>
      </c>
      <c r="O10" s="2">
        <v>75.0</v>
      </c>
      <c r="P10" s="2" t="s">
        <v>23</v>
      </c>
      <c r="Q10" s="2" t="s">
        <v>24</v>
      </c>
    </row>
    <row r="11">
      <c r="A11" s="2">
        <v>50010.0</v>
      </c>
      <c r="B11" s="3">
        <v>46046.0</v>
      </c>
      <c r="C11" s="2">
        <v>1004.0</v>
      </c>
      <c r="D11" s="2" t="s">
        <v>49</v>
      </c>
      <c r="E11" s="2">
        <v>1.0</v>
      </c>
      <c r="F11" s="2">
        <v>95.0</v>
      </c>
      <c r="G11" s="2">
        <v>0.0</v>
      </c>
      <c r="H11" s="2">
        <v>0.0</v>
      </c>
      <c r="I11" s="2">
        <v>95.0</v>
      </c>
      <c r="J11" s="2" t="s">
        <v>50</v>
      </c>
      <c r="K11" s="2" t="s">
        <v>19</v>
      </c>
      <c r="L11" s="2" t="s">
        <v>28</v>
      </c>
      <c r="M11" s="2" t="s">
        <v>51</v>
      </c>
      <c r="N11" s="2" t="s">
        <v>34</v>
      </c>
      <c r="O11" s="2">
        <v>95.0</v>
      </c>
      <c r="P11" s="2" t="s">
        <v>23</v>
      </c>
      <c r="Q11" s="2" t="s">
        <v>24</v>
      </c>
    </row>
    <row r="12">
      <c r="A12" s="2">
        <v>50011.0</v>
      </c>
      <c r="B12" s="3">
        <v>46048.0</v>
      </c>
      <c r="C12" s="2">
        <v>1008.0</v>
      </c>
      <c r="D12" s="2" t="s">
        <v>35</v>
      </c>
      <c r="E12" s="2">
        <v>5.0</v>
      </c>
      <c r="F12" s="2">
        <v>1400.0</v>
      </c>
      <c r="G12" s="2">
        <v>5.0</v>
      </c>
      <c r="H12" s="2">
        <v>70.0</v>
      </c>
      <c r="I12" s="2">
        <v>1330.0</v>
      </c>
      <c r="J12" s="2" t="s">
        <v>39</v>
      </c>
      <c r="K12" s="2" t="s">
        <v>40</v>
      </c>
      <c r="L12" s="2" t="s">
        <v>28</v>
      </c>
      <c r="M12" s="2" t="s">
        <v>37</v>
      </c>
      <c r="N12" s="2" t="s">
        <v>38</v>
      </c>
      <c r="O12" s="2">
        <v>280.0</v>
      </c>
      <c r="P12" s="2" t="s">
        <v>23</v>
      </c>
      <c r="Q12" s="2" t="s">
        <v>53</v>
      </c>
    </row>
    <row r="13">
      <c r="A13" s="2">
        <v>50012.0</v>
      </c>
      <c r="B13" s="3">
        <v>46051.0</v>
      </c>
      <c r="C13" s="2">
        <v>1003.0</v>
      </c>
      <c r="D13" s="2" t="s">
        <v>17</v>
      </c>
      <c r="E13" s="2">
        <v>1.0</v>
      </c>
      <c r="F13" s="2">
        <v>55.0</v>
      </c>
      <c r="G13" s="2">
        <v>15.0</v>
      </c>
      <c r="H13" s="2">
        <v>8.25</v>
      </c>
      <c r="I13" s="2">
        <v>46.75</v>
      </c>
      <c r="J13" s="2" t="s">
        <v>54</v>
      </c>
      <c r="K13" s="2" t="s">
        <v>32</v>
      </c>
      <c r="L13" s="2" t="s">
        <v>28</v>
      </c>
      <c r="M13" s="2" t="s">
        <v>21</v>
      </c>
      <c r="N13" s="2" t="s">
        <v>22</v>
      </c>
      <c r="O13" s="2">
        <v>55.0</v>
      </c>
      <c r="P13" s="2" t="s">
        <v>23</v>
      </c>
      <c r="Q13" s="2" t="s">
        <v>24</v>
      </c>
    </row>
    <row r="14">
      <c r="A14" s="2">
        <v>50013.0</v>
      </c>
      <c r="B14" s="3">
        <v>46053.0</v>
      </c>
      <c r="C14" s="2">
        <v>1002.0</v>
      </c>
      <c r="D14" s="2" t="s">
        <v>42</v>
      </c>
      <c r="E14" s="2">
        <v>1.0</v>
      </c>
      <c r="F14" s="2">
        <v>850.0</v>
      </c>
      <c r="G14" s="2">
        <v>5.0</v>
      </c>
      <c r="H14" s="2">
        <v>42.5</v>
      </c>
      <c r="I14" s="2">
        <v>807.5</v>
      </c>
      <c r="J14" s="2" t="s">
        <v>57</v>
      </c>
      <c r="K14" s="2" t="s">
        <v>27</v>
      </c>
      <c r="L14" s="2" t="s">
        <v>20</v>
      </c>
      <c r="M14" s="2" t="s">
        <v>44</v>
      </c>
      <c r="N14" s="2" t="s">
        <v>34</v>
      </c>
      <c r="O14" s="2">
        <v>850.0</v>
      </c>
      <c r="P14" s="2" t="s">
        <v>23</v>
      </c>
      <c r="Q14" s="2" t="s">
        <v>53</v>
      </c>
    </row>
    <row r="15">
      <c r="A15" s="2">
        <v>50014.0</v>
      </c>
      <c r="B15" s="3">
        <v>46055.0</v>
      </c>
      <c r="C15" s="2">
        <v>1012.0</v>
      </c>
      <c r="D15" s="2" t="s">
        <v>46</v>
      </c>
      <c r="E15" s="2">
        <v>3.0</v>
      </c>
      <c r="F15" s="2">
        <v>225.0</v>
      </c>
      <c r="G15" s="2">
        <v>15.0</v>
      </c>
      <c r="H15" s="2">
        <v>33.75</v>
      </c>
      <c r="I15" s="2">
        <v>191.25</v>
      </c>
      <c r="J15" s="2" t="s">
        <v>58</v>
      </c>
      <c r="K15" s="2" t="s">
        <v>59</v>
      </c>
      <c r="L15" s="2" t="s">
        <v>20</v>
      </c>
      <c r="M15" s="2" t="s">
        <v>47</v>
      </c>
      <c r="N15" s="2" t="s">
        <v>22</v>
      </c>
      <c r="O15" s="2">
        <v>75.0</v>
      </c>
      <c r="P15" s="2" t="s">
        <v>60</v>
      </c>
      <c r="Q15" s="2" t="s">
        <v>24</v>
      </c>
    </row>
    <row r="16">
      <c r="A16" s="2">
        <v>50015.0</v>
      </c>
      <c r="B16" s="3">
        <v>46057.0</v>
      </c>
      <c r="C16" s="2">
        <v>1006.0</v>
      </c>
      <c r="D16" s="2" t="s">
        <v>55</v>
      </c>
      <c r="E16" s="2">
        <v>1.0</v>
      </c>
      <c r="F16" s="2">
        <v>320.0</v>
      </c>
      <c r="G16" s="2">
        <v>0.0</v>
      </c>
      <c r="H16" s="2">
        <v>0.0</v>
      </c>
      <c r="I16" s="2">
        <v>320.0</v>
      </c>
      <c r="J16" s="2" t="s">
        <v>61</v>
      </c>
      <c r="K16" s="2" t="s">
        <v>27</v>
      </c>
      <c r="L16" s="2" t="s">
        <v>28</v>
      </c>
      <c r="M16" s="2" t="s">
        <v>56</v>
      </c>
      <c r="N16" s="2" t="s">
        <v>34</v>
      </c>
      <c r="O16" s="2">
        <v>320.0</v>
      </c>
      <c r="P16" s="2" t="s">
        <v>60</v>
      </c>
      <c r="Q16" s="2" t="s">
        <v>24</v>
      </c>
    </row>
    <row r="17">
      <c r="A17" s="2">
        <v>50016.0</v>
      </c>
      <c r="B17" s="3">
        <v>46059.0</v>
      </c>
      <c r="C17" s="2">
        <v>1002.0</v>
      </c>
      <c r="D17" s="2" t="s">
        <v>49</v>
      </c>
      <c r="E17" s="2">
        <v>2.0</v>
      </c>
      <c r="F17" s="2">
        <v>190.0</v>
      </c>
      <c r="G17" s="2">
        <v>0.0</v>
      </c>
      <c r="H17" s="2">
        <v>0.0</v>
      </c>
      <c r="I17" s="2">
        <v>190.0</v>
      </c>
      <c r="J17" s="2" t="s">
        <v>57</v>
      </c>
      <c r="K17" s="2" t="s">
        <v>27</v>
      </c>
      <c r="L17" s="2" t="s">
        <v>20</v>
      </c>
      <c r="M17" s="2" t="s">
        <v>51</v>
      </c>
      <c r="N17" s="2" t="s">
        <v>34</v>
      </c>
      <c r="O17" s="2">
        <v>95.0</v>
      </c>
      <c r="P17" s="2" t="s">
        <v>60</v>
      </c>
      <c r="Q17" s="2" t="s">
        <v>24</v>
      </c>
    </row>
    <row r="18">
      <c r="A18" s="2">
        <v>50017.0</v>
      </c>
      <c r="B18" s="3">
        <v>46062.0</v>
      </c>
      <c r="C18" s="2">
        <v>1001.0</v>
      </c>
      <c r="D18" s="2" t="s">
        <v>49</v>
      </c>
      <c r="E18" s="2">
        <v>2.0</v>
      </c>
      <c r="F18" s="2">
        <v>190.0</v>
      </c>
      <c r="G18" s="2">
        <v>5.0</v>
      </c>
      <c r="H18" s="2">
        <v>9.5</v>
      </c>
      <c r="I18" s="2">
        <v>180.5</v>
      </c>
      <c r="J18" s="2" t="s">
        <v>62</v>
      </c>
      <c r="K18" s="2" t="s">
        <v>19</v>
      </c>
      <c r="L18" s="2" t="s">
        <v>28</v>
      </c>
      <c r="M18" s="2" t="s">
        <v>51</v>
      </c>
      <c r="N18" s="2" t="s">
        <v>34</v>
      </c>
      <c r="O18" s="2">
        <v>95.0</v>
      </c>
      <c r="P18" s="2" t="s">
        <v>60</v>
      </c>
      <c r="Q18" s="2" t="s">
        <v>24</v>
      </c>
    </row>
    <row r="19">
      <c r="A19" s="2">
        <v>50018.0</v>
      </c>
      <c r="B19" s="3">
        <v>46064.0</v>
      </c>
      <c r="C19" s="2">
        <v>1012.0</v>
      </c>
      <c r="D19" s="2" t="s">
        <v>35</v>
      </c>
      <c r="E19" s="2">
        <v>4.0</v>
      </c>
      <c r="F19" s="2">
        <v>1120.0</v>
      </c>
      <c r="G19" s="2">
        <v>5.0</v>
      </c>
      <c r="H19" s="2">
        <v>56.0</v>
      </c>
      <c r="I19" s="2">
        <v>1064.0</v>
      </c>
      <c r="J19" s="2" t="s">
        <v>58</v>
      </c>
      <c r="K19" s="2" t="s">
        <v>59</v>
      </c>
      <c r="L19" s="2" t="s">
        <v>20</v>
      </c>
      <c r="M19" s="2" t="s">
        <v>37</v>
      </c>
      <c r="N19" s="2" t="s">
        <v>38</v>
      </c>
      <c r="O19" s="2">
        <v>280.0</v>
      </c>
      <c r="P19" s="2" t="s">
        <v>60</v>
      </c>
      <c r="Q19" s="2" t="s">
        <v>53</v>
      </c>
    </row>
    <row r="20">
      <c r="A20" s="2">
        <v>50019.0</v>
      </c>
      <c r="B20" s="3">
        <v>46066.0</v>
      </c>
      <c r="C20" s="2">
        <v>1012.0</v>
      </c>
      <c r="D20" s="2" t="s">
        <v>49</v>
      </c>
      <c r="E20" s="2">
        <v>5.0</v>
      </c>
      <c r="F20" s="2">
        <v>475.0</v>
      </c>
      <c r="G20" s="2">
        <v>10.0</v>
      </c>
      <c r="H20" s="2">
        <v>47.5</v>
      </c>
      <c r="I20" s="2">
        <v>427.5</v>
      </c>
      <c r="J20" s="2" t="s">
        <v>58</v>
      </c>
      <c r="K20" s="2" t="s">
        <v>59</v>
      </c>
      <c r="L20" s="2" t="s">
        <v>20</v>
      </c>
      <c r="M20" s="2" t="s">
        <v>51</v>
      </c>
      <c r="N20" s="2" t="s">
        <v>34</v>
      </c>
      <c r="O20" s="2">
        <v>95.0</v>
      </c>
      <c r="P20" s="2" t="s">
        <v>60</v>
      </c>
      <c r="Q20" s="2" t="s">
        <v>24</v>
      </c>
    </row>
    <row r="21" ht="15.75" customHeight="1">
      <c r="A21" s="2">
        <v>50020.0</v>
      </c>
      <c r="B21" s="3">
        <v>46068.0</v>
      </c>
      <c r="C21" s="2">
        <v>1017.0</v>
      </c>
      <c r="D21" s="2" t="s">
        <v>17</v>
      </c>
      <c r="E21" s="2">
        <v>1.0</v>
      </c>
      <c r="F21" s="2">
        <v>55.0</v>
      </c>
      <c r="G21" s="2">
        <v>0.0</v>
      </c>
      <c r="H21" s="2">
        <v>0.0</v>
      </c>
      <c r="I21" s="2">
        <v>55.0</v>
      </c>
      <c r="J21" s="2" t="s">
        <v>66</v>
      </c>
      <c r="K21" s="2" t="s">
        <v>59</v>
      </c>
      <c r="L21" s="2" t="s">
        <v>20</v>
      </c>
      <c r="M21" s="2" t="s">
        <v>21</v>
      </c>
      <c r="N21" s="2" t="s">
        <v>22</v>
      </c>
      <c r="O21" s="2">
        <v>55.0</v>
      </c>
      <c r="P21" s="2" t="s">
        <v>60</v>
      </c>
      <c r="Q21" s="2" t="s">
        <v>24</v>
      </c>
    </row>
    <row r="22" ht="15.75" customHeight="1">
      <c r="A22" s="2">
        <v>50021.0</v>
      </c>
      <c r="B22" s="3">
        <v>46070.0</v>
      </c>
      <c r="C22" s="2">
        <v>1010.0</v>
      </c>
      <c r="D22" s="2" t="s">
        <v>42</v>
      </c>
      <c r="E22" s="2">
        <v>1.0</v>
      </c>
      <c r="F22" s="2">
        <v>850.0</v>
      </c>
      <c r="G22" s="2">
        <v>5.0</v>
      </c>
      <c r="H22" s="2">
        <v>42.5</v>
      </c>
      <c r="I22" s="2">
        <v>807.5</v>
      </c>
      <c r="J22" s="2" t="s">
        <v>65</v>
      </c>
      <c r="K22" s="2" t="s">
        <v>19</v>
      </c>
      <c r="L22" s="2" t="s">
        <v>28</v>
      </c>
      <c r="M22" s="2" t="s">
        <v>44</v>
      </c>
      <c r="N22" s="2" t="s">
        <v>34</v>
      </c>
      <c r="O22" s="2">
        <v>850.0</v>
      </c>
      <c r="P22" s="2" t="s">
        <v>60</v>
      </c>
      <c r="Q22" s="2" t="s">
        <v>53</v>
      </c>
    </row>
    <row r="23" ht="15.75" customHeight="1">
      <c r="A23" s="2">
        <v>50022.0</v>
      </c>
      <c r="B23" s="3">
        <v>46073.0</v>
      </c>
      <c r="C23" s="2">
        <v>1016.0</v>
      </c>
      <c r="D23" s="2" t="s">
        <v>49</v>
      </c>
      <c r="E23" s="2">
        <v>3.0</v>
      </c>
      <c r="F23" s="2">
        <v>285.0</v>
      </c>
      <c r="G23" s="2">
        <v>5.0</v>
      </c>
      <c r="H23" s="2">
        <v>14.25</v>
      </c>
      <c r="I23" s="2">
        <v>270.75</v>
      </c>
      <c r="J23" s="2" t="s">
        <v>69</v>
      </c>
      <c r="K23" s="2" t="s">
        <v>27</v>
      </c>
      <c r="L23" s="2" t="s">
        <v>28</v>
      </c>
      <c r="M23" s="2" t="s">
        <v>51</v>
      </c>
      <c r="N23" s="2" t="s">
        <v>34</v>
      </c>
      <c r="O23" s="2">
        <v>95.0</v>
      </c>
      <c r="P23" s="2" t="s">
        <v>60</v>
      </c>
      <c r="Q23" s="2" t="s">
        <v>24</v>
      </c>
    </row>
    <row r="24" ht="15.75" customHeight="1">
      <c r="A24" s="2">
        <v>50023.0</v>
      </c>
      <c r="B24" s="3">
        <v>46075.0</v>
      </c>
      <c r="C24" s="2">
        <v>1015.0</v>
      </c>
      <c r="D24" s="2" t="s">
        <v>49</v>
      </c>
      <c r="E24" s="2">
        <v>2.0</v>
      </c>
      <c r="F24" s="2">
        <v>190.0</v>
      </c>
      <c r="G24" s="2">
        <v>10.0</v>
      </c>
      <c r="H24" s="2">
        <v>19.0</v>
      </c>
      <c r="I24" s="2">
        <v>171.0</v>
      </c>
      <c r="J24" s="2" t="s">
        <v>31</v>
      </c>
      <c r="K24" s="2" t="s">
        <v>32</v>
      </c>
      <c r="L24" s="2" t="s">
        <v>28</v>
      </c>
      <c r="M24" s="2" t="s">
        <v>51</v>
      </c>
      <c r="N24" s="2" t="s">
        <v>34</v>
      </c>
      <c r="O24" s="2">
        <v>95.0</v>
      </c>
      <c r="P24" s="2" t="s">
        <v>60</v>
      </c>
      <c r="Q24" s="2" t="s">
        <v>24</v>
      </c>
    </row>
    <row r="25" ht="15.75" customHeight="1">
      <c r="A25" s="2">
        <v>50024.0</v>
      </c>
      <c r="B25" s="3">
        <v>46077.0</v>
      </c>
      <c r="C25" s="2">
        <v>1015.0</v>
      </c>
      <c r="D25" s="2" t="s">
        <v>55</v>
      </c>
      <c r="E25" s="2">
        <v>5.0</v>
      </c>
      <c r="F25" s="2">
        <v>1600.0</v>
      </c>
      <c r="G25" s="2">
        <v>0.0</v>
      </c>
      <c r="H25" s="2">
        <v>0.0</v>
      </c>
      <c r="I25" s="2">
        <v>1600.0</v>
      </c>
      <c r="J25" s="2" t="s">
        <v>31</v>
      </c>
      <c r="K25" s="2" t="s">
        <v>32</v>
      </c>
      <c r="L25" s="2" t="s">
        <v>28</v>
      </c>
      <c r="M25" s="2" t="s">
        <v>56</v>
      </c>
      <c r="N25" s="2" t="s">
        <v>34</v>
      </c>
      <c r="O25" s="2">
        <v>320.0</v>
      </c>
      <c r="P25" s="2" t="s">
        <v>60</v>
      </c>
      <c r="Q25" s="2" t="s">
        <v>45</v>
      </c>
    </row>
    <row r="26" ht="15.75" customHeight="1">
      <c r="A26" s="2">
        <v>50025.0</v>
      </c>
      <c r="B26" s="3">
        <v>46079.0</v>
      </c>
      <c r="C26" s="2">
        <v>1019.0</v>
      </c>
      <c r="D26" s="2" t="s">
        <v>55</v>
      </c>
      <c r="E26" s="2">
        <v>4.0</v>
      </c>
      <c r="F26" s="2">
        <v>1280.0</v>
      </c>
      <c r="G26" s="2">
        <v>15.0</v>
      </c>
      <c r="H26" s="2">
        <v>192.0</v>
      </c>
      <c r="I26" s="2">
        <v>1088.0</v>
      </c>
      <c r="J26" s="2" t="s">
        <v>43</v>
      </c>
      <c r="K26" s="2" t="s">
        <v>19</v>
      </c>
      <c r="L26" s="2" t="s">
        <v>20</v>
      </c>
      <c r="M26" s="2" t="s">
        <v>56</v>
      </c>
      <c r="N26" s="2" t="s">
        <v>34</v>
      </c>
      <c r="O26" s="2">
        <v>320.0</v>
      </c>
      <c r="P26" s="2" t="s">
        <v>60</v>
      </c>
      <c r="Q26" s="2" t="s">
        <v>53</v>
      </c>
    </row>
    <row r="27" ht="15.75" customHeight="1">
      <c r="A27" s="2">
        <v>50026.0</v>
      </c>
      <c r="B27" s="3">
        <v>46081.0</v>
      </c>
      <c r="C27" s="2">
        <v>1012.0</v>
      </c>
      <c r="D27" s="2" t="s">
        <v>25</v>
      </c>
      <c r="E27" s="2">
        <v>2.0</v>
      </c>
      <c r="F27" s="2">
        <v>50.0</v>
      </c>
      <c r="G27" s="2">
        <v>5.0</v>
      </c>
      <c r="H27" s="2">
        <v>2.5</v>
      </c>
      <c r="I27" s="2">
        <v>47.5</v>
      </c>
      <c r="J27" s="2" t="s">
        <v>58</v>
      </c>
      <c r="K27" s="2" t="s">
        <v>59</v>
      </c>
      <c r="L27" s="2" t="s">
        <v>20</v>
      </c>
      <c r="M27" s="2" t="s">
        <v>29</v>
      </c>
      <c r="N27" s="2" t="s">
        <v>22</v>
      </c>
      <c r="O27" s="2">
        <v>25.0</v>
      </c>
      <c r="P27" s="2" t="s">
        <v>60</v>
      </c>
      <c r="Q27" s="2" t="s">
        <v>24</v>
      </c>
    </row>
    <row r="28" ht="15.75" customHeight="1">
      <c r="A28" s="2">
        <v>50027.0</v>
      </c>
      <c r="B28" s="3">
        <v>46083.0</v>
      </c>
      <c r="C28" s="2">
        <v>1020.0</v>
      </c>
      <c r="D28" s="2" t="s">
        <v>46</v>
      </c>
      <c r="E28" s="2">
        <v>4.0</v>
      </c>
      <c r="F28" s="2">
        <v>300.0</v>
      </c>
      <c r="G28" s="2">
        <v>0.0</v>
      </c>
      <c r="H28" s="2">
        <v>0.0</v>
      </c>
      <c r="I28" s="2">
        <v>300.0</v>
      </c>
      <c r="J28" s="2" t="s">
        <v>26</v>
      </c>
      <c r="K28" s="2" t="s">
        <v>27</v>
      </c>
      <c r="L28" s="2" t="s">
        <v>28</v>
      </c>
      <c r="M28" s="2" t="s">
        <v>47</v>
      </c>
      <c r="N28" s="2" t="s">
        <v>22</v>
      </c>
      <c r="O28" s="2">
        <v>75.0</v>
      </c>
      <c r="P28" s="2" t="s">
        <v>71</v>
      </c>
      <c r="Q28" s="2" t="s">
        <v>24</v>
      </c>
    </row>
    <row r="29" ht="15.75" customHeight="1">
      <c r="A29" s="2">
        <v>50028.0</v>
      </c>
      <c r="B29" s="3">
        <v>46086.0</v>
      </c>
      <c r="C29" s="2">
        <v>1003.0</v>
      </c>
      <c r="D29" s="2" t="s">
        <v>17</v>
      </c>
      <c r="E29" s="2">
        <v>3.0</v>
      </c>
      <c r="F29" s="2">
        <v>165.0</v>
      </c>
      <c r="G29" s="2">
        <v>10.0</v>
      </c>
      <c r="H29" s="2">
        <v>16.5</v>
      </c>
      <c r="I29" s="2">
        <v>148.5</v>
      </c>
      <c r="J29" s="2" t="s">
        <v>54</v>
      </c>
      <c r="K29" s="2" t="s">
        <v>32</v>
      </c>
      <c r="L29" s="2" t="s">
        <v>28</v>
      </c>
      <c r="M29" s="2" t="s">
        <v>21</v>
      </c>
      <c r="N29" s="2" t="s">
        <v>22</v>
      </c>
      <c r="O29" s="2">
        <v>55.0</v>
      </c>
      <c r="P29" s="2" t="s">
        <v>71</v>
      </c>
      <c r="Q29" s="2" t="s">
        <v>24</v>
      </c>
    </row>
    <row r="30" ht="15.75" customHeight="1">
      <c r="A30" s="2">
        <v>50029.0</v>
      </c>
      <c r="B30" s="3">
        <v>46088.0</v>
      </c>
      <c r="C30" s="2">
        <v>1005.0</v>
      </c>
      <c r="D30" s="2" t="s">
        <v>49</v>
      </c>
      <c r="E30" s="2">
        <v>3.0</v>
      </c>
      <c r="F30" s="2">
        <v>285.0</v>
      </c>
      <c r="G30" s="2">
        <v>10.0</v>
      </c>
      <c r="H30" s="2">
        <v>28.5</v>
      </c>
      <c r="I30" s="2">
        <v>256.5</v>
      </c>
      <c r="J30" s="2" t="s">
        <v>63</v>
      </c>
      <c r="K30" s="2" t="s">
        <v>59</v>
      </c>
      <c r="L30" s="2" t="s">
        <v>20</v>
      </c>
      <c r="M30" s="2" t="s">
        <v>51</v>
      </c>
      <c r="N30" s="2" t="s">
        <v>34</v>
      </c>
      <c r="O30" s="2">
        <v>95.0</v>
      </c>
      <c r="P30" s="2" t="s">
        <v>71</v>
      </c>
      <c r="Q30" s="2" t="s">
        <v>24</v>
      </c>
    </row>
    <row r="31" ht="15.75" customHeight="1">
      <c r="A31" s="2">
        <v>50030.0</v>
      </c>
      <c r="B31" s="3">
        <v>46090.0</v>
      </c>
      <c r="C31" s="2">
        <v>1019.0</v>
      </c>
      <c r="D31" s="2" t="s">
        <v>30</v>
      </c>
      <c r="E31" s="2">
        <v>1.0</v>
      </c>
      <c r="F31" s="2">
        <v>500.0</v>
      </c>
      <c r="G31" s="2">
        <v>15.0</v>
      </c>
      <c r="H31" s="2">
        <v>75.0</v>
      </c>
      <c r="I31" s="2">
        <v>425.0</v>
      </c>
      <c r="J31" s="2" t="s">
        <v>43</v>
      </c>
      <c r="K31" s="2" t="s">
        <v>19</v>
      </c>
      <c r="L31" s="2" t="s">
        <v>20</v>
      </c>
      <c r="M31" s="2" t="s">
        <v>33</v>
      </c>
      <c r="N31" s="2" t="s">
        <v>34</v>
      </c>
      <c r="O31" s="2">
        <v>500.0</v>
      </c>
      <c r="P31" s="2" t="s">
        <v>71</v>
      </c>
      <c r="Q31" s="2" t="s">
        <v>24</v>
      </c>
    </row>
    <row r="32" ht="15.75" customHeight="1">
      <c r="A32" s="2">
        <v>50031.0</v>
      </c>
      <c r="B32" s="3">
        <v>46092.0</v>
      </c>
      <c r="C32" s="2">
        <v>1007.0</v>
      </c>
      <c r="D32" s="2" t="s">
        <v>49</v>
      </c>
      <c r="E32" s="2">
        <v>5.0</v>
      </c>
      <c r="F32" s="2">
        <v>475.0</v>
      </c>
      <c r="G32" s="2">
        <v>0.0</v>
      </c>
      <c r="H32" s="2">
        <v>0.0</v>
      </c>
      <c r="I32" s="2">
        <v>475.0</v>
      </c>
      <c r="J32" s="2" t="s">
        <v>18</v>
      </c>
      <c r="K32" s="2" t="s">
        <v>19</v>
      </c>
      <c r="L32" s="2" t="s">
        <v>20</v>
      </c>
      <c r="M32" s="2" t="s">
        <v>51</v>
      </c>
      <c r="N32" s="2" t="s">
        <v>34</v>
      </c>
      <c r="O32" s="2">
        <v>95.0</v>
      </c>
      <c r="P32" s="2" t="s">
        <v>71</v>
      </c>
      <c r="Q32" s="2" t="s">
        <v>24</v>
      </c>
    </row>
    <row r="33" ht="15.75" customHeight="1">
      <c r="A33" s="2">
        <v>50032.0</v>
      </c>
      <c r="B33" s="3">
        <v>46094.0</v>
      </c>
      <c r="C33" s="2">
        <v>1009.0</v>
      </c>
      <c r="D33" s="2" t="s">
        <v>42</v>
      </c>
      <c r="E33" s="2">
        <v>4.0</v>
      </c>
      <c r="F33" s="2">
        <v>3400.0</v>
      </c>
      <c r="G33" s="2">
        <v>5.0</v>
      </c>
      <c r="H33" s="2">
        <v>170.0</v>
      </c>
      <c r="I33" s="2">
        <v>3230.0</v>
      </c>
      <c r="J33" s="2" t="s">
        <v>64</v>
      </c>
      <c r="K33" s="2" t="s">
        <v>32</v>
      </c>
      <c r="L33" s="2" t="s">
        <v>20</v>
      </c>
      <c r="M33" s="2" t="s">
        <v>44</v>
      </c>
      <c r="N33" s="2" t="s">
        <v>34</v>
      </c>
      <c r="O33" s="2">
        <v>850.0</v>
      </c>
      <c r="P33" s="2" t="s">
        <v>71</v>
      </c>
      <c r="Q33" s="2" t="s">
        <v>45</v>
      </c>
    </row>
    <row r="34" ht="15.75" customHeight="1">
      <c r="A34" s="2">
        <v>50033.0</v>
      </c>
      <c r="B34" s="3">
        <v>46097.0</v>
      </c>
      <c r="C34" s="2">
        <v>1007.0</v>
      </c>
      <c r="D34" s="2" t="s">
        <v>25</v>
      </c>
      <c r="E34" s="2">
        <v>2.0</v>
      </c>
      <c r="F34" s="2">
        <v>50.0</v>
      </c>
      <c r="G34" s="2">
        <v>5.0</v>
      </c>
      <c r="H34" s="2">
        <v>2.5</v>
      </c>
      <c r="I34" s="2">
        <v>47.5</v>
      </c>
      <c r="J34" s="2" t="s">
        <v>18</v>
      </c>
      <c r="K34" s="2" t="s">
        <v>19</v>
      </c>
      <c r="L34" s="2" t="s">
        <v>20</v>
      </c>
      <c r="M34" s="2" t="s">
        <v>29</v>
      </c>
      <c r="N34" s="2" t="s">
        <v>22</v>
      </c>
      <c r="O34" s="2">
        <v>25.0</v>
      </c>
      <c r="P34" s="2" t="s">
        <v>71</v>
      </c>
      <c r="Q34" s="2" t="s">
        <v>24</v>
      </c>
    </row>
    <row r="35" ht="15.75" customHeight="1">
      <c r="A35" s="2">
        <v>50034.0</v>
      </c>
      <c r="B35" s="3">
        <v>46099.0</v>
      </c>
      <c r="C35" s="2">
        <v>1018.0</v>
      </c>
      <c r="D35" s="2" t="s">
        <v>46</v>
      </c>
      <c r="E35" s="2">
        <v>3.0</v>
      </c>
      <c r="F35" s="2">
        <v>225.0</v>
      </c>
      <c r="G35" s="2">
        <v>15.0</v>
      </c>
      <c r="H35" s="2">
        <v>33.75</v>
      </c>
      <c r="I35" s="2">
        <v>191.25</v>
      </c>
      <c r="J35" s="2" t="s">
        <v>70</v>
      </c>
      <c r="K35" s="2" t="s">
        <v>40</v>
      </c>
      <c r="L35" s="2" t="s">
        <v>28</v>
      </c>
      <c r="M35" s="2" t="s">
        <v>47</v>
      </c>
      <c r="N35" s="2" t="s">
        <v>22</v>
      </c>
      <c r="O35" s="2">
        <v>75.0</v>
      </c>
      <c r="P35" s="2" t="s">
        <v>71</v>
      </c>
      <c r="Q35" s="2" t="s">
        <v>24</v>
      </c>
    </row>
    <row r="36" ht="15.75" customHeight="1">
      <c r="A36" s="2">
        <v>50035.0</v>
      </c>
      <c r="B36" s="3">
        <v>46101.0</v>
      </c>
      <c r="C36" s="2">
        <v>1004.0</v>
      </c>
      <c r="D36" s="2" t="s">
        <v>30</v>
      </c>
      <c r="E36" s="2">
        <v>1.0</v>
      </c>
      <c r="F36" s="2">
        <v>500.0</v>
      </c>
      <c r="G36" s="2">
        <v>0.0</v>
      </c>
      <c r="H36" s="2">
        <v>0.0</v>
      </c>
      <c r="I36" s="2">
        <v>500.0</v>
      </c>
      <c r="J36" s="2" t="s">
        <v>50</v>
      </c>
      <c r="K36" s="2" t="s">
        <v>19</v>
      </c>
      <c r="L36" s="2" t="s">
        <v>28</v>
      </c>
      <c r="M36" s="2" t="s">
        <v>33</v>
      </c>
      <c r="N36" s="2" t="s">
        <v>34</v>
      </c>
      <c r="O36" s="2">
        <v>500.0</v>
      </c>
      <c r="P36" s="2" t="s">
        <v>71</v>
      </c>
      <c r="Q36" s="2" t="s">
        <v>24</v>
      </c>
    </row>
    <row r="37" ht="15.75" customHeight="1">
      <c r="A37" s="2">
        <v>50036.0</v>
      </c>
      <c r="B37" s="3">
        <v>46103.0</v>
      </c>
      <c r="C37" s="2">
        <v>1014.0</v>
      </c>
      <c r="D37" s="2" t="s">
        <v>25</v>
      </c>
      <c r="E37" s="2">
        <v>1.0</v>
      </c>
      <c r="F37" s="2">
        <v>25.0</v>
      </c>
      <c r="G37" s="2">
        <v>0.0</v>
      </c>
      <c r="H37" s="2">
        <v>0.0</v>
      </c>
      <c r="I37" s="2">
        <v>25.0</v>
      </c>
      <c r="J37" s="2" t="s">
        <v>68</v>
      </c>
      <c r="K37" s="2" t="s">
        <v>19</v>
      </c>
      <c r="L37" s="2" t="s">
        <v>20</v>
      </c>
      <c r="M37" s="2" t="s">
        <v>29</v>
      </c>
      <c r="N37" s="2" t="s">
        <v>22</v>
      </c>
      <c r="O37" s="2">
        <v>25.0</v>
      </c>
      <c r="P37" s="2" t="s">
        <v>71</v>
      </c>
      <c r="Q37" s="2" t="s">
        <v>24</v>
      </c>
    </row>
    <row r="38" ht="15.75" customHeight="1">
      <c r="A38" s="2">
        <v>50037.0</v>
      </c>
      <c r="B38" s="3">
        <v>46105.0</v>
      </c>
      <c r="C38" s="2">
        <v>1018.0</v>
      </c>
      <c r="D38" s="2" t="s">
        <v>35</v>
      </c>
      <c r="E38" s="2">
        <v>4.0</v>
      </c>
      <c r="F38" s="2">
        <v>1120.0</v>
      </c>
      <c r="G38" s="2">
        <v>0.0</v>
      </c>
      <c r="H38" s="2">
        <v>0.0</v>
      </c>
      <c r="I38" s="2">
        <v>1120.0</v>
      </c>
      <c r="J38" s="2" t="s">
        <v>70</v>
      </c>
      <c r="K38" s="2" t="s">
        <v>40</v>
      </c>
      <c r="L38" s="2" t="s">
        <v>28</v>
      </c>
      <c r="M38" s="2" t="s">
        <v>37</v>
      </c>
      <c r="N38" s="2" t="s">
        <v>38</v>
      </c>
      <c r="O38" s="2">
        <v>280.0</v>
      </c>
      <c r="P38" s="2" t="s">
        <v>71</v>
      </c>
      <c r="Q38" s="2" t="s">
        <v>53</v>
      </c>
    </row>
    <row r="39" ht="15.75" customHeight="1">
      <c r="A39" s="2">
        <v>50038.0</v>
      </c>
      <c r="B39" s="3">
        <v>46108.0</v>
      </c>
      <c r="C39" s="2">
        <v>1009.0</v>
      </c>
      <c r="D39" s="2" t="s">
        <v>46</v>
      </c>
      <c r="E39" s="2">
        <v>3.0</v>
      </c>
      <c r="F39" s="2">
        <v>225.0</v>
      </c>
      <c r="G39" s="2">
        <v>0.0</v>
      </c>
      <c r="H39" s="2">
        <v>0.0</v>
      </c>
      <c r="I39" s="2">
        <v>225.0</v>
      </c>
      <c r="J39" s="2" t="s">
        <v>64</v>
      </c>
      <c r="K39" s="2" t="s">
        <v>32</v>
      </c>
      <c r="L39" s="2" t="s">
        <v>20</v>
      </c>
      <c r="M39" s="2" t="s">
        <v>47</v>
      </c>
      <c r="N39" s="2" t="s">
        <v>22</v>
      </c>
      <c r="O39" s="2">
        <v>75.0</v>
      </c>
      <c r="P39" s="2" t="s">
        <v>71</v>
      </c>
      <c r="Q39" s="2" t="s">
        <v>24</v>
      </c>
    </row>
    <row r="40" ht="15.75" customHeight="1">
      <c r="A40" s="2">
        <v>50039.0</v>
      </c>
      <c r="B40" s="3">
        <v>46110.0</v>
      </c>
      <c r="C40" s="2">
        <v>1002.0</v>
      </c>
      <c r="D40" s="2" t="s">
        <v>49</v>
      </c>
      <c r="E40" s="2">
        <v>5.0</v>
      </c>
      <c r="F40" s="2">
        <v>475.0</v>
      </c>
      <c r="G40" s="2">
        <v>5.0</v>
      </c>
      <c r="H40" s="2">
        <v>23.75</v>
      </c>
      <c r="I40" s="2">
        <v>451.25</v>
      </c>
      <c r="J40" s="2" t="s">
        <v>57</v>
      </c>
      <c r="K40" s="2" t="s">
        <v>27</v>
      </c>
      <c r="L40" s="2" t="s">
        <v>20</v>
      </c>
      <c r="M40" s="2" t="s">
        <v>51</v>
      </c>
      <c r="N40" s="2" t="s">
        <v>34</v>
      </c>
      <c r="O40" s="2">
        <v>95.0</v>
      </c>
      <c r="P40" s="2" t="s">
        <v>71</v>
      </c>
      <c r="Q40" s="2" t="s">
        <v>24</v>
      </c>
    </row>
    <row r="41" ht="15.75" customHeight="1">
      <c r="A41" s="2">
        <v>50040.0</v>
      </c>
      <c r="B41" s="3">
        <v>46112.0</v>
      </c>
      <c r="C41" s="2">
        <v>1020.0</v>
      </c>
      <c r="D41" s="2" t="s">
        <v>49</v>
      </c>
      <c r="E41" s="2">
        <v>3.0</v>
      </c>
      <c r="F41" s="2">
        <v>285.0</v>
      </c>
      <c r="G41" s="2">
        <v>0.0</v>
      </c>
      <c r="H41" s="2">
        <v>0.0</v>
      </c>
      <c r="I41" s="2">
        <v>285.0</v>
      </c>
      <c r="J41" s="2" t="s">
        <v>26</v>
      </c>
      <c r="K41" s="2" t="s">
        <v>27</v>
      </c>
      <c r="L41" s="2" t="s">
        <v>28</v>
      </c>
      <c r="M41" s="2" t="s">
        <v>51</v>
      </c>
      <c r="N41" s="2" t="s">
        <v>34</v>
      </c>
      <c r="O41" s="2">
        <v>95.0</v>
      </c>
      <c r="P41" s="2" t="s">
        <v>71</v>
      </c>
      <c r="Q41" s="2" t="s">
        <v>24</v>
      </c>
    </row>
    <row r="42" ht="15.75" customHeight="1">
      <c r="A42" s="2">
        <v>50041.0</v>
      </c>
      <c r="B42" s="3">
        <v>46114.0</v>
      </c>
      <c r="C42" s="2">
        <v>1015.0</v>
      </c>
      <c r="D42" s="2" t="s">
        <v>46</v>
      </c>
      <c r="E42" s="2">
        <v>4.0</v>
      </c>
      <c r="F42" s="2">
        <v>300.0</v>
      </c>
      <c r="G42" s="2">
        <v>0.0</v>
      </c>
      <c r="H42" s="2">
        <v>0.0</v>
      </c>
      <c r="I42" s="2">
        <v>300.0</v>
      </c>
      <c r="J42" s="2" t="s">
        <v>31</v>
      </c>
      <c r="K42" s="2" t="s">
        <v>32</v>
      </c>
      <c r="L42" s="2" t="s">
        <v>28</v>
      </c>
      <c r="M42" s="2" t="s">
        <v>47</v>
      </c>
      <c r="N42" s="2" t="s">
        <v>22</v>
      </c>
      <c r="O42" s="2">
        <v>75.0</v>
      </c>
      <c r="P42" s="2" t="s">
        <v>72</v>
      </c>
      <c r="Q42" s="2" t="s">
        <v>24</v>
      </c>
    </row>
    <row r="43" ht="15.75" customHeight="1">
      <c r="A43" s="2">
        <v>50042.0</v>
      </c>
      <c r="B43" s="3">
        <v>46116.0</v>
      </c>
      <c r="C43" s="2">
        <v>1007.0</v>
      </c>
      <c r="D43" s="2" t="s">
        <v>49</v>
      </c>
      <c r="E43" s="2">
        <v>4.0</v>
      </c>
      <c r="F43" s="2">
        <v>380.0</v>
      </c>
      <c r="H43" s="2">
        <v>0.0</v>
      </c>
      <c r="I43" s="2">
        <v>380.0</v>
      </c>
      <c r="J43" s="2" t="s">
        <v>18</v>
      </c>
      <c r="K43" s="2" t="s">
        <v>19</v>
      </c>
      <c r="L43" s="2" t="s">
        <v>20</v>
      </c>
      <c r="M43" s="2" t="s">
        <v>51</v>
      </c>
      <c r="N43" s="2" t="s">
        <v>34</v>
      </c>
      <c r="O43" s="2">
        <v>95.0</v>
      </c>
      <c r="P43" s="2" t="s">
        <v>72</v>
      </c>
      <c r="Q43" s="2" t="s">
        <v>24</v>
      </c>
    </row>
    <row r="44" ht="15.75" customHeight="1">
      <c r="A44" s="2">
        <v>50043.0</v>
      </c>
      <c r="B44" s="3">
        <v>46119.0</v>
      </c>
      <c r="C44" s="2">
        <v>1012.0</v>
      </c>
      <c r="D44" s="2" t="s">
        <v>17</v>
      </c>
      <c r="E44" s="2">
        <v>3.0</v>
      </c>
      <c r="F44" s="2">
        <v>165.0</v>
      </c>
      <c r="G44" s="2">
        <v>15.0</v>
      </c>
      <c r="H44" s="2">
        <v>24.75</v>
      </c>
      <c r="I44" s="2">
        <v>140.25</v>
      </c>
      <c r="J44" s="2" t="s">
        <v>58</v>
      </c>
      <c r="K44" s="2" t="s">
        <v>59</v>
      </c>
      <c r="L44" s="2" t="s">
        <v>20</v>
      </c>
      <c r="M44" s="2" t="s">
        <v>21</v>
      </c>
      <c r="N44" s="2" t="s">
        <v>22</v>
      </c>
      <c r="O44" s="2">
        <v>55.0</v>
      </c>
      <c r="P44" s="2" t="s">
        <v>72</v>
      </c>
      <c r="Q44" s="2" t="s">
        <v>24</v>
      </c>
    </row>
    <row r="45" ht="15.75" customHeight="1">
      <c r="A45" s="2">
        <v>50044.0</v>
      </c>
      <c r="B45" s="3">
        <v>46121.0</v>
      </c>
      <c r="C45" s="2">
        <v>1008.0</v>
      </c>
      <c r="D45" s="2" t="s">
        <v>46</v>
      </c>
      <c r="E45" s="2">
        <v>4.0</v>
      </c>
      <c r="F45" s="2">
        <v>300.0</v>
      </c>
      <c r="G45" s="2">
        <v>0.0</v>
      </c>
      <c r="H45" s="2">
        <v>0.0</v>
      </c>
      <c r="I45" s="2">
        <v>300.0</v>
      </c>
      <c r="J45" s="2" t="s">
        <v>39</v>
      </c>
      <c r="K45" s="2" t="s">
        <v>40</v>
      </c>
      <c r="L45" s="2" t="s">
        <v>28</v>
      </c>
      <c r="M45" s="2" t="s">
        <v>47</v>
      </c>
      <c r="N45" s="2" t="s">
        <v>22</v>
      </c>
      <c r="O45" s="2">
        <v>75.0</v>
      </c>
      <c r="P45" s="2" t="s">
        <v>72</v>
      </c>
      <c r="Q45" s="2" t="s">
        <v>24</v>
      </c>
    </row>
    <row r="46" ht="15.75" customHeight="1">
      <c r="A46" s="2">
        <v>50045.0</v>
      </c>
      <c r="B46" s="3">
        <v>46123.0</v>
      </c>
      <c r="C46" s="2">
        <v>1015.0</v>
      </c>
      <c r="D46" s="2" t="s">
        <v>25</v>
      </c>
      <c r="E46" s="2">
        <v>3.0</v>
      </c>
      <c r="F46" s="2">
        <v>75.0</v>
      </c>
      <c r="G46" s="2">
        <v>0.0</v>
      </c>
      <c r="H46" s="2">
        <v>0.0</v>
      </c>
      <c r="I46" s="2">
        <v>75.0</v>
      </c>
      <c r="J46" s="2" t="s">
        <v>31</v>
      </c>
      <c r="K46" s="2" t="s">
        <v>32</v>
      </c>
      <c r="L46" s="2" t="s">
        <v>28</v>
      </c>
      <c r="M46" s="2" t="s">
        <v>29</v>
      </c>
      <c r="N46" s="2" t="s">
        <v>22</v>
      </c>
      <c r="O46" s="2">
        <v>25.0</v>
      </c>
      <c r="P46" s="2" t="s">
        <v>72</v>
      </c>
      <c r="Q46" s="2" t="s">
        <v>24</v>
      </c>
    </row>
    <row r="47" ht="15.75" customHeight="1">
      <c r="A47" s="2">
        <v>50046.0</v>
      </c>
      <c r="B47" s="3">
        <v>46125.0</v>
      </c>
      <c r="C47" s="2">
        <v>1003.0</v>
      </c>
      <c r="D47" s="2" t="s">
        <v>46</v>
      </c>
      <c r="E47" s="2">
        <v>2.0</v>
      </c>
      <c r="F47" s="2">
        <v>150.0</v>
      </c>
      <c r="G47" s="2">
        <v>5.0</v>
      </c>
      <c r="H47" s="2">
        <v>7.5</v>
      </c>
      <c r="I47" s="2">
        <v>142.5</v>
      </c>
      <c r="J47" s="2" t="s">
        <v>54</v>
      </c>
      <c r="K47" s="2" t="s">
        <v>32</v>
      </c>
      <c r="L47" s="2" t="s">
        <v>28</v>
      </c>
      <c r="M47" s="2" t="s">
        <v>47</v>
      </c>
      <c r="N47" s="2" t="s">
        <v>22</v>
      </c>
      <c r="O47" s="2">
        <v>75.0</v>
      </c>
      <c r="P47" s="2" t="s">
        <v>72</v>
      </c>
      <c r="Q47" s="2" t="s">
        <v>24</v>
      </c>
    </row>
    <row r="48" ht="15.75" customHeight="1">
      <c r="A48" s="2">
        <v>50047.0</v>
      </c>
      <c r="B48" s="3">
        <v>46127.0</v>
      </c>
      <c r="C48" s="2">
        <v>1014.0</v>
      </c>
      <c r="D48" s="2" t="s">
        <v>30</v>
      </c>
      <c r="E48" s="2">
        <v>3.0</v>
      </c>
      <c r="F48" s="2">
        <v>1500.0</v>
      </c>
      <c r="G48" s="2">
        <v>0.0</v>
      </c>
      <c r="H48" s="2">
        <v>0.0</v>
      </c>
      <c r="I48" s="2">
        <v>1500.0</v>
      </c>
      <c r="J48" s="2" t="s">
        <v>68</v>
      </c>
      <c r="K48" s="2" t="s">
        <v>19</v>
      </c>
      <c r="L48" s="2" t="s">
        <v>20</v>
      </c>
      <c r="M48" s="2" t="s">
        <v>33</v>
      </c>
      <c r="N48" s="2" t="s">
        <v>34</v>
      </c>
      <c r="O48" s="2">
        <v>500.0</v>
      </c>
      <c r="P48" s="2" t="s">
        <v>72</v>
      </c>
      <c r="Q48" s="2" t="s">
        <v>45</v>
      </c>
    </row>
    <row r="49" ht="15.75" customHeight="1">
      <c r="A49" s="2">
        <v>50048.0</v>
      </c>
      <c r="B49" s="3">
        <v>46130.0</v>
      </c>
      <c r="C49" s="2">
        <v>1017.0</v>
      </c>
      <c r="D49" s="2" t="s">
        <v>49</v>
      </c>
      <c r="E49" s="2">
        <v>3.0</v>
      </c>
      <c r="F49" s="2">
        <v>285.0</v>
      </c>
      <c r="G49" s="2">
        <v>0.0</v>
      </c>
      <c r="H49" s="2">
        <v>0.0</v>
      </c>
      <c r="I49" s="2">
        <v>285.0</v>
      </c>
      <c r="J49" s="2" t="s">
        <v>66</v>
      </c>
      <c r="K49" s="2" t="s">
        <v>59</v>
      </c>
      <c r="L49" s="2" t="s">
        <v>20</v>
      </c>
      <c r="M49" s="2" t="s">
        <v>51</v>
      </c>
      <c r="N49" s="2" t="s">
        <v>34</v>
      </c>
      <c r="O49" s="2">
        <v>95.0</v>
      </c>
      <c r="P49" s="2" t="s">
        <v>72</v>
      </c>
      <c r="Q49" s="2" t="s">
        <v>24</v>
      </c>
    </row>
    <row r="50" ht="15.75" customHeight="1">
      <c r="A50" s="2">
        <v>50049.0</v>
      </c>
      <c r="B50" s="3">
        <v>46132.0</v>
      </c>
      <c r="C50" s="2">
        <v>1004.0</v>
      </c>
      <c r="D50" s="2" t="s">
        <v>17</v>
      </c>
      <c r="E50" s="2">
        <v>4.0</v>
      </c>
      <c r="F50" s="2">
        <v>220.0</v>
      </c>
      <c r="G50" s="2">
        <v>0.0</v>
      </c>
      <c r="H50" s="2">
        <v>0.0</v>
      </c>
      <c r="I50" s="2">
        <v>220.0</v>
      </c>
      <c r="J50" s="2" t="s">
        <v>50</v>
      </c>
      <c r="K50" s="2" t="s">
        <v>19</v>
      </c>
      <c r="L50" s="2" t="s">
        <v>28</v>
      </c>
      <c r="M50" s="2" t="s">
        <v>21</v>
      </c>
      <c r="N50" s="2" t="s">
        <v>22</v>
      </c>
      <c r="O50" s="2">
        <v>55.0</v>
      </c>
      <c r="P50" s="2" t="s">
        <v>72</v>
      </c>
      <c r="Q50" s="2" t="s">
        <v>24</v>
      </c>
    </row>
    <row r="51" ht="15.75" customHeight="1">
      <c r="A51" s="2">
        <v>50050.0</v>
      </c>
      <c r="B51" s="3">
        <v>46134.0</v>
      </c>
      <c r="C51" s="2">
        <v>1018.0</v>
      </c>
      <c r="D51" s="2" t="s">
        <v>17</v>
      </c>
      <c r="E51" s="2">
        <v>4.0</v>
      </c>
      <c r="F51" s="2">
        <v>220.0</v>
      </c>
      <c r="G51" s="2">
        <v>0.0</v>
      </c>
      <c r="H51" s="2">
        <v>0.0</v>
      </c>
      <c r="I51" s="2">
        <v>220.0</v>
      </c>
      <c r="J51" s="2" t="s">
        <v>70</v>
      </c>
      <c r="K51" s="2" t="s">
        <v>40</v>
      </c>
      <c r="L51" s="2" t="s">
        <v>28</v>
      </c>
      <c r="M51" s="2" t="s">
        <v>21</v>
      </c>
      <c r="N51" s="2" t="s">
        <v>22</v>
      </c>
      <c r="O51" s="2">
        <v>55.0</v>
      </c>
      <c r="P51" s="2" t="s">
        <v>72</v>
      </c>
      <c r="Q51" s="2" t="s">
        <v>24</v>
      </c>
    </row>
    <row r="52" ht="15.75" customHeight="1">
      <c r="A52" s="2">
        <v>50051.0</v>
      </c>
      <c r="B52" s="3">
        <v>46136.0</v>
      </c>
      <c r="C52" s="2">
        <v>1008.0</v>
      </c>
      <c r="D52" s="2" t="s">
        <v>35</v>
      </c>
      <c r="E52" s="2">
        <v>1.0</v>
      </c>
      <c r="F52" s="2">
        <v>280.0</v>
      </c>
      <c r="G52" s="2">
        <v>10.0</v>
      </c>
      <c r="H52" s="2">
        <v>28.0</v>
      </c>
      <c r="I52" s="2">
        <v>252.0</v>
      </c>
      <c r="J52" s="2" t="s">
        <v>39</v>
      </c>
      <c r="K52" s="2" t="s">
        <v>40</v>
      </c>
      <c r="L52" s="2" t="s">
        <v>28</v>
      </c>
      <c r="M52" s="2" t="s">
        <v>37</v>
      </c>
      <c r="N52" s="2" t="s">
        <v>38</v>
      </c>
      <c r="O52" s="2">
        <v>280.0</v>
      </c>
      <c r="P52" s="2" t="s">
        <v>72</v>
      </c>
      <c r="Q52" s="2" t="s">
        <v>24</v>
      </c>
    </row>
    <row r="53" ht="15.75" customHeight="1">
      <c r="A53" s="2">
        <v>50052.0</v>
      </c>
      <c r="B53" s="3">
        <v>46138.0</v>
      </c>
      <c r="C53" s="2">
        <v>1004.0</v>
      </c>
      <c r="D53" s="2" t="s">
        <v>25</v>
      </c>
      <c r="E53" s="2">
        <v>1.0</v>
      </c>
      <c r="F53" s="2">
        <v>25.0</v>
      </c>
      <c r="G53" s="2">
        <v>0.0</v>
      </c>
      <c r="H53" s="2">
        <v>0.0</v>
      </c>
      <c r="I53" s="2">
        <v>25.0</v>
      </c>
      <c r="J53" s="2" t="s">
        <v>50</v>
      </c>
      <c r="K53" s="2" t="s">
        <v>19</v>
      </c>
      <c r="L53" s="2" t="s">
        <v>28</v>
      </c>
      <c r="M53" s="2" t="s">
        <v>29</v>
      </c>
      <c r="N53" s="2" t="s">
        <v>22</v>
      </c>
      <c r="O53" s="2">
        <v>25.0</v>
      </c>
      <c r="P53" s="2" t="s">
        <v>72</v>
      </c>
      <c r="Q53" s="2" t="s">
        <v>24</v>
      </c>
    </row>
    <row r="54" ht="15.75" customHeight="1">
      <c r="A54" s="2">
        <v>50053.0</v>
      </c>
      <c r="B54" s="3">
        <v>46140.0</v>
      </c>
      <c r="C54" s="2">
        <v>1002.0</v>
      </c>
      <c r="D54" s="2" t="s">
        <v>55</v>
      </c>
      <c r="E54" s="2">
        <v>2.0</v>
      </c>
      <c r="F54" s="2">
        <v>640.0</v>
      </c>
      <c r="G54" s="2">
        <v>10.0</v>
      </c>
      <c r="H54" s="2">
        <v>64.0</v>
      </c>
      <c r="I54" s="2">
        <v>576.0</v>
      </c>
      <c r="J54" s="2" t="s">
        <v>57</v>
      </c>
      <c r="K54" s="2" t="s">
        <v>27</v>
      </c>
      <c r="L54" s="2" t="s">
        <v>20</v>
      </c>
      <c r="M54" s="2" t="s">
        <v>56</v>
      </c>
      <c r="N54" s="2" t="s">
        <v>34</v>
      </c>
      <c r="O54" s="2">
        <v>320.0</v>
      </c>
      <c r="P54" s="2" t="s">
        <v>72</v>
      </c>
      <c r="Q54" s="2" t="s">
        <v>24</v>
      </c>
    </row>
    <row r="55" ht="15.75" customHeight="1">
      <c r="A55" s="2">
        <v>50054.0</v>
      </c>
      <c r="B55" s="3">
        <v>46143.0</v>
      </c>
      <c r="C55" s="2">
        <v>1006.0</v>
      </c>
      <c r="D55" s="2" t="s">
        <v>55</v>
      </c>
      <c r="E55" s="2">
        <v>1.0</v>
      </c>
      <c r="F55" s="2">
        <v>320.0</v>
      </c>
      <c r="G55" s="2">
        <v>5.0</v>
      </c>
      <c r="H55" s="2">
        <v>16.0</v>
      </c>
      <c r="I55" s="2">
        <v>304.0</v>
      </c>
      <c r="J55" s="2" t="s">
        <v>61</v>
      </c>
      <c r="K55" s="2" t="s">
        <v>27</v>
      </c>
      <c r="L55" s="2" t="s">
        <v>28</v>
      </c>
      <c r="M55" s="2" t="s">
        <v>56</v>
      </c>
      <c r="N55" s="2" t="s">
        <v>34</v>
      </c>
      <c r="O55" s="2">
        <v>320.0</v>
      </c>
      <c r="P55" s="2" t="s">
        <v>73</v>
      </c>
      <c r="Q55" s="2" t="s">
        <v>24</v>
      </c>
    </row>
    <row r="56" ht="15.75" customHeight="1">
      <c r="A56" s="2">
        <v>50055.0</v>
      </c>
      <c r="B56" s="3">
        <v>46145.0</v>
      </c>
      <c r="C56" s="2">
        <v>1010.0</v>
      </c>
      <c r="D56" s="2" t="s">
        <v>46</v>
      </c>
      <c r="E56" s="2">
        <v>3.0</v>
      </c>
      <c r="F56" s="2">
        <v>225.0</v>
      </c>
      <c r="G56" s="2">
        <v>0.0</v>
      </c>
      <c r="H56" s="2">
        <v>0.0</v>
      </c>
      <c r="I56" s="2">
        <v>225.0</v>
      </c>
      <c r="J56" s="2" t="s">
        <v>65</v>
      </c>
      <c r="K56" s="2" t="s">
        <v>19</v>
      </c>
      <c r="L56" s="2" t="s">
        <v>28</v>
      </c>
      <c r="M56" s="2" t="s">
        <v>47</v>
      </c>
      <c r="N56" s="2" t="s">
        <v>22</v>
      </c>
      <c r="O56" s="2">
        <v>75.0</v>
      </c>
      <c r="P56" s="2" t="s">
        <v>73</v>
      </c>
      <c r="Q56" s="2" t="s">
        <v>24</v>
      </c>
    </row>
    <row r="57" ht="15.75" customHeight="1">
      <c r="A57" s="2">
        <v>50056.0</v>
      </c>
      <c r="B57" s="3">
        <v>46147.0</v>
      </c>
      <c r="C57" s="2">
        <v>1004.0</v>
      </c>
      <c r="D57" s="2" t="s">
        <v>35</v>
      </c>
      <c r="E57" s="2">
        <v>4.0</v>
      </c>
      <c r="F57" s="2">
        <v>1120.0</v>
      </c>
      <c r="G57" s="2">
        <v>0.0</v>
      </c>
      <c r="H57" s="2">
        <v>0.0</v>
      </c>
      <c r="I57" s="2">
        <v>1120.0</v>
      </c>
      <c r="J57" s="2" t="s">
        <v>50</v>
      </c>
      <c r="K57" s="2" t="s">
        <v>19</v>
      </c>
      <c r="L57" s="2" t="s">
        <v>28</v>
      </c>
      <c r="M57" s="2" t="s">
        <v>37</v>
      </c>
      <c r="N57" s="2" t="s">
        <v>38</v>
      </c>
      <c r="O57" s="2">
        <v>280.0</v>
      </c>
      <c r="P57" s="2" t="s">
        <v>73</v>
      </c>
      <c r="Q57" s="2" t="s">
        <v>53</v>
      </c>
    </row>
    <row r="58" ht="15.75" customHeight="1">
      <c r="A58" s="2">
        <v>50057.0</v>
      </c>
      <c r="B58" s="3">
        <v>46149.0</v>
      </c>
      <c r="C58" s="2">
        <v>1018.0</v>
      </c>
      <c r="D58" s="2" t="s">
        <v>42</v>
      </c>
      <c r="E58" s="2">
        <v>1.0</v>
      </c>
      <c r="F58" s="2">
        <v>850.0</v>
      </c>
      <c r="G58" s="2">
        <v>0.0</v>
      </c>
      <c r="H58" s="2">
        <v>0.0</v>
      </c>
      <c r="I58" s="2">
        <v>850.0</v>
      </c>
      <c r="J58" s="2" t="s">
        <v>70</v>
      </c>
      <c r="K58" s="2" t="s">
        <v>40</v>
      </c>
      <c r="L58" s="2" t="s">
        <v>28</v>
      </c>
      <c r="M58" s="2" t="s">
        <v>44</v>
      </c>
      <c r="N58" s="2" t="s">
        <v>34</v>
      </c>
      <c r="O58" s="2">
        <v>850.0</v>
      </c>
      <c r="P58" s="2" t="s">
        <v>73</v>
      </c>
      <c r="Q58" s="2" t="s">
        <v>53</v>
      </c>
    </row>
    <row r="59" ht="15.75" customHeight="1">
      <c r="A59" s="2">
        <v>50058.0</v>
      </c>
      <c r="B59" s="3">
        <v>46151.0</v>
      </c>
      <c r="C59" s="2">
        <v>1012.0</v>
      </c>
      <c r="D59" s="2" t="s">
        <v>46</v>
      </c>
      <c r="E59" s="2">
        <v>1.0</v>
      </c>
      <c r="F59" s="2">
        <v>75.0</v>
      </c>
      <c r="G59" s="2">
        <v>5.0</v>
      </c>
      <c r="H59" s="2">
        <v>3.75</v>
      </c>
      <c r="I59" s="2">
        <v>71.25</v>
      </c>
      <c r="J59" s="2" t="s">
        <v>58</v>
      </c>
      <c r="K59" s="2" t="s">
        <v>59</v>
      </c>
      <c r="L59" s="2" t="s">
        <v>20</v>
      </c>
      <c r="M59" s="2" t="s">
        <v>47</v>
      </c>
      <c r="N59" s="2" t="s">
        <v>22</v>
      </c>
      <c r="O59" s="2">
        <v>75.0</v>
      </c>
      <c r="P59" s="2" t="s">
        <v>73</v>
      </c>
      <c r="Q59" s="2" t="s">
        <v>24</v>
      </c>
    </row>
    <row r="60" ht="15.75" customHeight="1">
      <c r="A60" s="2">
        <v>50059.0</v>
      </c>
      <c r="B60" s="3">
        <v>46154.0</v>
      </c>
      <c r="C60" s="2">
        <v>1002.0</v>
      </c>
      <c r="D60" s="2" t="s">
        <v>35</v>
      </c>
      <c r="E60" s="2">
        <v>2.0</v>
      </c>
      <c r="F60" s="2">
        <v>560.0</v>
      </c>
      <c r="G60" s="2">
        <v>0.0</v>
      </c>
      <c r="H60" s="2">
        <v>0.0</v>
      </c>
      <c r="I60" s="2">
        <v>560.0</v>
      </c>
      <c r="J60" s="2" t="s">
        <v>57</v>
      </c>
      <c r="K60" s="2" t="s">
        <v>27</v>
      </c>
      <c r="L60" s="2" t="s">
        <v>20</v>
      </c>
      <c r="M60" s="2" t="s">
        <v>37</v>
      </c>
      <c r="N60" s="2" t="s">
        <v>38</v>
      </c>
      <c r="O60" s="2">
        <v>280.0</v>
      </c>
      <c r="P60" s="2" t="s">
        <v>73</v>
      </c>
      <c r="Q60" s="2" t="s">
        <v>24</v>
      </c>
    </row>
    <row r="61" ht="15.75" customHeight="1">
      <c r="A61" s="2">
        <v>50060.0</v>
      </c>
      <c r="B61" s="3">
        <v>46156.0</v>
      </c>
      <c r="C61" s="2">
        <v>1010.0</v>
      </c>
      <c r="D61" s="2" t="s">
        <v>25</v>
      </c>
      <c r="E61" s="2">
        <v>2.0</v>
      </c>
      <c r="F61" s="2">
        <v>50.0</v>
      </c>
      <c r="G61" s="2">
        <v>0.0</v>
      </c>
      <c r="H61" s="2">
        <v>0.0</v>
      </c>
      <c r="I61" s="2">
        <v>50.0</v>
      </c>
      <c r="J61" s="2" t="s">
        <v>65</v>
      </c>
      <c r="K61" s="2" t="s">
        <v>19</v>
      </c>
      <c r="L61" s="2" t="s">
        <v>28</v>
      </c>
      <c r="M61" s="2" t="s">
        <v>29</v>
      </c>
      <c r="N61" s="2" t="s">
        <v>22</v>
      </c>
      <c r="O61" s="2">
        <v>25.0</v>
      </c>
      <c r="P61" s="2" t="s">
        <v>73</v>
      </c>
      <c r="Q61" s="2" t="s">
        <v>24</v>
      </c>
    </row>
    <row r="62" ht="15.75" customHeight="1">
      <c r="A62" s="2">
        <v>50061.0</v>
      </c>
      <c r="B62" s="3">
        <v>46158.0</v>
      </c>
      <c r="C62" s="2">
        <v>1004.0</v>
      </c>
      <c r="D62" s="2" t="s">
        <v>25</v>
      </c>
      <c r="E62" s="2">
        <v>3.0</v>
      </c>
      <c r="F62" s="2">
        <v>75.0</v>
      </c>
      <c r="G62" s="2">
        <v>5.0</v>
      </c>
      <c r="H62" s="2">
        <v>3.75</v>
      </c>
      <c r="I62" s="2">
        <v>71.25</v>
      </c>
      <c r="J62" s="2" t="s">
        <v>50</v>
      </c>
      <c r="K62" s="2" t="s">
        <v>19</v>
      </c>
      <c r="L62" s="2" t="s">
        <v>28</v>
      </c>
      <c r="M62" s="2" t="s">
        <v>29</v>
      </c>
      <c r="N62" s="2" t="s">
        <v>22</v>
      </c>
      <c r="O62" s="2">
        <v>25.0</v>
      </c>
      <c r="P62" s="2" t="s">
        <v>73</v>
      </c>
      <c r="Q62" s="2" t="s">
        <v>24</v>
      </c>
    </row>
    <row r="63" ht="15.75" customHeight="1">
      <c r="A63" s="2">
        <v>50062.0</v>
      </c>
      <c r="B63" s="3">
        <v>46160.0</v>
      </c>
      <c r="C63" s="2">
        <v>1014.0</v>
      </c>
      <c r="D63" s="2" t="s">
        <v>25</v>
      </c>
      <c r="E63" s="2">
        <v>4.0</v>
      </c>
      <c r="F63" s="2">
        <v>100.0</v>
      </c>
      <c r="G63" s="2">
        <v>0.0</v>
      </c>
      <c r="H63" s="2">
        <v>0.0</v>
      </c>
      <c r="I63" s="2">
        <v>100.0</v>
      </c>
      <c r="J63" s="2" t="s">
        <v>68</v>
      </c>
      <c r="K63" s="2" t="s">
        <v>19</v>
      </c>
      <c r="L63" s="2" t="s">
        <v>20</v>
      </c>
      <c r="M63" s="2" t="s">
        <v>29</v>
      </c>
      <c r="N63" s="2" t="s">
        <v>22</v>
      </c>
      <c r="O63" s="2">
        <v>25.0</v>
      </c>
      <c r="P63" s="2" t="s">
        <v>73</v>
      </c>
      <c r="Q63" s="2" t="s">
        <v>24</v>
      </c>
    </row>
    <row r="64" ht="15.75" customHeight="1">
      <c r="A64" s="2">
        <v>50063.0</v>
      </c>
      <c r="B64" s="3">
        <v>46162.0</v>
      </c>
      <c r="C64" s="2">
        <v>1016.0</v>
      </c>
      <c r="D64" s="2" t="s">
        <v>25</v>
      </c>
      <c r="E64" s="2">
        <v>2.0</v>
      </c>
      <c r="F64" s="2">
        <v>50.0</v>
      </c>
      <c r="G64" s="2">
        <v>0.0</v>
      </c>
      <c r="H64" s="2">
        <v>0.0</v>
      </c>
      <c r="I64" s="2">
        <v>50.0</v>
      </c>
      <c r="J64" s="2" t="s">
        <v>69</v>
      </c>
      <c r="K64" s="2" t="s">
        <v>27</v>
      </c>
      <c r="L64" s="2" t="s">
        <v>28</v>
      </c>
      <c r="M64" s="2" t="s">
        <v>29</v>
      </c>
      <c r="N64" s="2" t="s">
        <v>22</v>
      </c>
      <c r="O64" s="2">
        <v>25.0</v>
      </c>
      <c r="P64" s="2" t="s">
        <v>73</v>
      </c>
      <c r="Q64" s="2" t="s">
        <v>24</v>
      </c>
    </row>
    <row r="65" ht="15.75" customHeight="1">
      <c r="A65" s="2">
        <v>50064.0</v>
      </c>
      <c r="B65" s="3">
        <v>46165.0</v>
      </c>
      <c r="C65" s="2">
        <v>1015.0</v>
      </c>
      <c r="D65" s="2" t="s">
        <v>25</v>
      </c>
      <c r="E65" s="2">
        <v>1.0</v>
      </c>
      <c r="F65" s="2">
        <v>25.0</v>
      </c>
      <c r="G65" s="2">
        <v>0.0</v>
      </c>
      <c r="H65" s="2">
        <v>0.0</v>
      </c>
      <c r="I65" s="2">
        <v>25.0</v>
      </c>
      <c r="J65" s="2" t="s">
        <v>31</v>
      </c>
      <c r="K65" s="2" t="s">
        <v>32</v>
      </c>
      <c r="L65" s="2" t="s">
        <v>28</v>
      </c>
      <c r="M65" s="2" t="s">
        <v>29</v>
      </c>
      <c r="N65" s="2" t="s">
        <v>22</v>
      </c>
      <c r="O65" s="2">
        <v>25.0</v>
      </c>
      <c r="P65" s="2" t="s">
        <v>73</v>
      </c>
      <c r="Q65" s="2" t="s">
        <v>24</v>
      </c>
    </row>
    <row r="66" ht="15.75" customHeight="1">
      <c r="A66" s="2">
        <v>50065.0</v>
      </c>
      <c r="B66" s="3">
        <v>46167.0</v>
      </c>
      <c r="C66" s="2">
        <v>1008.0</v>
      </c>
      <c r="D66" s="2" t="s">
        <v>35</v>
      </c>
      <c r="E66" s="2">
        <v>4.0</v>
      </c>
      <c r="F66" s="2">
        <v>1120.0</v>
      </c>
      <c r="G66" s="2">
        <v>0.0</v>
      </c>
      <c r="H66" s="2">
        <v>0.0</v>
      </c>
      <c r="I66" s="2">
        <v>1120.0</v>
      </c>
      <c r="J66" s="2" t="s">
        <v>39</v>
      </c>
      <c r="K66" s="2" t="s">
        <v>40</v>
      </c>
      <c r="L66" s="2" t="s">
        <v>28</v>
      </c>
      <c r="M66" s="2" t="s">
        <v>37</v>
      </c>
      <c r="N66" s="2" t="s">
        <v>38</v>
      </c>
      <c r="O66" s="2">
        <v>280.0</v>
      </c>
      <c r="P66" s="2" t="s">
        <v>73</v>
      </c>
      <c r="Q66" s="2" t="s">
        <v>53</v>
      </c>
    </row>
    <row r="67" ht="15.75" customHeight="1">
      <c r="A67" s="2">
        <v>50066.0</v>
      </c>
      <c r="B67" s="3">
        <v>46169.0</v>
      </c>
      <c r="C67" s="2">
        <v>1014.0</v>
      </c>
      <c r="D67" s="2" t="s">
        <v>35</v>
      </c>
      <c r="E67" s="2">
        <v>4.0</v>
      </c>
      <c r="F67" s="2">
        <v>1120.0</v>
      </c>
      <c r="G67" s="2">
        <v>10.0</v>
      </c>
      <c r="H67" s="2">
        <v>112.0</v>
      </c>
      <c r="I67" s="2">
        <v>1008.0</v>
      </c>
      <c r="J67" s="2" t="s">
        <v>68</v>
      </c>
      <c r="K67" s="2" t="s">
        <v>19</v>
      </c>
      <c r="L67" s="2" t="s">
        <v>20</v>
      </c>
      <c r="M67" s="2" t="s">
        <v>37</v>
      </c>
      <c r="N67" s="2" t="s">
        <v>38</v>
      </c>
      <c r="O67" s="2">
        <v>280.0</v>
      </c>
      <c r="P67" s="2" t="s">
        <v>73</v>
      </c>
      <c r="Q67" s="2" t="s">
        <v>53</v>
      </c>
    </row>
    <row r="68" ht="15.75" customHeight="1">
      <c r="A68" s="2">
        <v>50067.0</v>
      </c>
      <c r="B68" s="3">
        <v>46171.0</v>
      </c>
      <c r="C68" s="2">
        <v>1008.0</v>
      </c>
      <c r="D68" s="2" t="s">
        <v>17</v>
      </c>
      <c r="E68" s="2">
        <v>1.0</v>
      </c>
      <c r="F68" s="2">
        <v>55.0</v>
      </c>
      <c r="G68" s="2">
        <v>0.0</v>
      </c>
      <c r="H68" s="2">
        <v>0.0</v>
      </c>
      <c r="I68" s="2">
        <v>55.0</v>
      </c>
      <c r="J68" s="2" t="s">
        <v>39</v>
      </c>
      <c r="K68" s="2" t="s">
        <v>40</v>
      </c>
      <c r="L68" s="2" t="s">
        <v>28</v>
      </c>
      <c r="M68" s="2" t="s">
        <v>21</v>
      </c>
      <c r="N68" s="2" t="s">
        <v>22</v>
      </c>
      <c r="O68" s="2">
        <v>55.0</v>
      </c>
      <c r="P68" s="2" t="s">
        <v>73</v>
      </c>
      <c r="Q68" s="2" t="s">
        <v>24</v>
      </c>
    </row>
    <row r="69" ht="15.75" customHeight="1">
      <c r="A69" s="2">
        <v>50068.0</v>
      </c>
      <c r="B69" s="3">
        <v>46173.0</v>
      </c>
      <c r="C69" s="2">
        <v>1016.0</v>
      </c>
      <c r="D69" s="2" t="s">
        <v>30</v>
      </c>
      <c r="E69" s="2">
        <v>2.0</v>
      </c>
      <c r="F69" s="2">
        <v>1000.0</v>
      </c>
      <c r="G69" s="2">
        <v>5.0</v>
      </c>
      <c r="H69" s="2">
        <v>50.0</v>
      </c>
      <c r="I69" s="2">
        <v>950.0</v>
      </c>
      <c r="J69" s="2" t="s">
        <v>69</v>
      </c>
      <c r="K69" s="2" t="s">
        <v>27</v>
      </c>
      <c r="L69" s="2" t="s">
        <v>28</v>
      </c>
      <c r="M69" s="2" t="s">
        <v>33</v>
      </c>
      <c r="N69" s="2" t="s">
        <v>34</v>
      </c>
      <c r="O69" s="2">
        <v>500.0</v>
      </c>
      <c r="P69" s="2" t="s">
        <v>73</v>
      </c>
      <c r="Q69" s="2" t="s">
        <v>53</v>
      </c>
    </row>
    <row r="70" ht="15.75" customHeight="1">
      <c r="A70" s="2">
        <v>50069.0</v>
      </c>
      <c r="B70" s="3">
        <v>46176.0</v>
      </c>
      <c r="C70" s="2">
        <v>1013.0</v>
      </c>
      <c r="D70" s="2" t="s">
        <v>55</v>
      </c>
      <c r="E70" s="2">
        <v>1.0</v>
      </c>
      <c r="F70" s="2">
        <v>320.0</v>
      </c>
      <c r="G70" s="2">
        <v>0.0</v>
      </c>
      <c r="H70" s="2">
        <v>0.0</v>
      </c>
      <c r="I70" s="2">
        <v>320.0</v>
      </c>
      <c r="J70" s="2" t="s">
        <v>67</v>
      </c>
      <c r="K70" s="2" t="s">
        <v>40</v>
      </c>
      <c r="L70" s="2" t="s">
        <v>28</v>
      </c>
      <c r="M70" s="2" t="s">
        <v>56</v>
      </c>
      <c r="N70" s="2" t="s">
        <v>34</v>
      </c>
      <c r="O70" s="2">
        <v>320.0</v>
      </c>
      <c r="P70" s="2" t="s">
        <v>74</v>
      </c>
      <c r="Q70" s="2" t="s">
        <v>24</v>
      </c>
    </row>
    <row r="71" ht="15.75" customHeight="1">
      <c r="A71" s="2">
        <v>50070.0</v>
      </c>
      <c r="B71" s="3">
        <v>46178.0</v>
      </c>
      <c r="C71" s="2">
        <v>1018.0</v>
      </c>
      <c r="D71" s="2" t="s">
        <v>49</v>
      </c>
      <c r="E71" s="2">
        <v>4.0</v>
      </c>
      <c r="F71" s="2">
        <v>380.0</v>
      </c>
      <c r="G71" s="2">
        <v>5.0</v>
      </c>
      <c r="H71" s="2">
        <v>19.0</v>
      </c>
      <c r="I71" s="2">
        <v>361.0</v>
      </c>
      <c r="J71" s="2" t="s">
        <v>70</v>
      </c>
      <c r="K71" s="2" t="s">
        <v>40</v>
      </c>
      <c r="L71" s="2" t="s">
        <v>28</v>
      </c>
      <c r="M71" s="2" t="s">
        <v>51</v>
      </c>
      <c r="N71" s="2" t="s">
        <v>34</v>
      </c>
      <c r="O71" s="2">
        <v>95.0</v>
      </c>
      <c r="P71" s="2" t="s">
        <v>74</v>
      </c>
      <c r="Q71" s="2" t="s">
        <v>24</v>
      </c>
    </row>
    <row r="72" ht="15.75" customHeight="1">
      <c r="A72" s="2">
        <v>50071.0</v>
      </c>
      <c r="B72" s="3">
        <v>46180.0</v>
      </c>
      <c r="C72" s="2">
        <v>1015.0</v>
      </c>
      <c r="D72" s="2" t="s">
        <v>25</v>
      </c>
      <c r="E72" s="2">
        <v>5.0</v>
      </c>
      <c r="F72" s="2">
        <v>125.0</v>
      </c>
      <c r="G72" s="2">
        <v>0.0</v>
      </c>
      <c r="H72" s="2">
        <v>0.0</v>
      </c>
      <c r="I72" s="2">
        <v>125.0</v>
      </c>
      <c r="J72" s="2" t="s">
        <v>31</v>
      </c>
      <c r="K72" s="2" t="s">
        <v>32</v>
      </c>
      <c r="L72" s="2" t="s">
        <v>28</v>
      </c>
      <c r="M72" s="2" t="s">
        <v>29</v>
      </c>
      <c r="N72" s="2" t="s">
        <v>22</v>
      </c>
      <c r="O72" s="2">
        <v>25.0</v>
      </c>
      <c r="P72" s="2" t="s">
        <v>74</v>
      </c>
      <c r="Q72" s="2" t="s">
        <v>24</v>
      </c>
    </row>
    <row r="73" ht="15.75" customHeight="1">
      <c r="A73" s="2">
        <v>50072.0</v>
      </c>
      <c r="B73" s="3">
        <v>46182.0</v>
      </c>
      <c r="C73" s="2">
        <v>1013.0</v>
      </c>
      <c r="D73" s="2" t="s">
        <v>42</v>
      </c>
      <c r="E73" s="2">
        <v>5.0</v>
      </c>
      <c r="F73" s="2">
        <v>4250.0</v>
      </c>
      <c r="G73" s="2">
        <v>0.0</v>
      </c>
      <c r="H73" s="2">
        <v>0.0</v>
      </c>
      <c r="I73" s="2">
        <v>4250.0</v>
      </c>
      <c r="J73" s="2" t="s">
        <v>67</v>
      </c>
      <c r="K73" s="2" t="s">
        <v>40</v>
      </c>
      <c r="L73" s="2" t="s">
        <v>28</v>
      </c>
      <c r="M73" s="2" t="s">
        <v>44</v>
      </c>
      <c r="N73" s="2" t="s">
        <v>34</v>
      </c>
      <c r="O73" s="2">
        <v>850.0</v>
      </c>
      <c r="P73" s="2" t="s">
        <v>74</v>
      </c>
      <c r="Q73" s="2" t="s">
        <v>45</v>
      </c>
    </row>
    <row r="74" ht="15.75" customHeight="1">
      <c r="A74" s="2">
        <v>50073.0</v>
      </c>
      <c r="B74" s="3">
        <v>46184.0</v>
      </c>
      <c r="C74" s="2">
        <v>1009.0</v>
      </c>
      <c r="D74" s="2" t="s">
        <v>49</v>
      </c>
      <c r="E74" s="2">
        <v>3.0</v>
      </c>
      <c r="F74" s="2">
        <v>285.0</v>
      </c>
      <c r="G74" s="2">
        <v>15.0</v>
      </c>
      <c r="H74" s="2">
        <v>42.75</v>
      </c>
      <c r="I74" s="2">
        <v>242.25</v>
      </c>
      <c r="J74" s="2" t="s">
        <v>64</v>
      </c>
      <c r="K74" s="2" t="s">
        <v>32</v>
      </c>
      <c r="L74" s="2" t="s">
        <v>20</v>
      </c>
      <c r="M74" s="2" t="s">
        <v>51</v>
      </c>
      <c r="N74" s="2" t="s">
        <v>34</v>
      </c>
      <c r="O74" s="2">
        <v>95.0</v>
      </c>
      <c r="P74" s="2" t="s">
        <v>74</v>
      </c>
      <c r="Q74" s="2" t="s">
        <v>24</v>
      </c>
    </row>
    <row r="75" ht="15.75" customHeight="1">
      <c r="A75" s="2">
        <v>50074.0</v>
      </c>
      <c r="B75" s="3">
        <v>46187.0</v>
      </c>
      <c r="C75" s="2">
        <v>1015.0</v>
      </c>
      <c r="D75" s="2" t="s">
        <v>35</v>
      </c>
      <c r="E75" s="2">
        <v>1.0</v>
      </c>
      <c r="F75" s="2">
        <v>280.0</v>
      </c>
      <c r="G75" s="2">
        <v>10.0</v>
      </c>
      <c r="H75" s="2">
        <v>28.0</v>
      </c>
      <c r="I75" s="2">
        <v>252.0</v>
      </c>
      <c r="J75" s="2" t="s">
        <v>31</v>
      </c>
      <c r="K75" s="2" t="s">
        <v>32</v>
      </c>
      <c r="L75" s="2" t="s">
        <v>28</v>
      </c>
      <c r="M75" s="2" t="s">
        <v>37</v>
      </c>
      <c r="N75" s="2" t="s">
        <v>38</v>
      </c>
      <c r="O75" s="2">
        <v>280.0</v>
      </c>
      <c r="P75" s="2" t="s">
        <v>74</v>
      </c>
      <c r="Q75" s="2" t="s">
        <v>24</v>
      </c>
    </row>
    <row r="76" ht="15.75" customHeight="1">
      <c r="A76" s="2">
        <v>50075.0</v>
      </c>
      <c r="B76" s="3">
        <v>46189.0</v>
      </c>
      <c r="C76" s="2">
        <v>1013.0</v>
      </c>
      <c r="D76" s="2" t="s">
        <v>42</v>
      </c>
      <c r="E76" s="2">
        <v>1.0</v>
      </c>
      <c r="F76" s="2">
        <v>850.0</v>
      </c>
      <c r="G76" s="2">
        <v>10.0</v>
      </c>
      <c r="H76" s="2">
        <v>85.0</v>
      </c>
      <c r="I76" s="2">
        <v>765.0</v>
      </c>
      <c r="J76" s="2" t="s">
        <v>67</v>
      </c>
      <c r="K76" s="2" t="s">
        <v>40</v>
      </c>
      <c r="L76" s="2" t="s">
        <v>28</v>
      </c>
      <c r="M76" s="2" t="s">
        <v>44</v>
      </c>
      <c r="N76" s="2" t="s">
        <v>34</v>
      </c>
      <c r="O76" s="2">
        <v>850.0</v>
      </c>
      <c r="P76" s="2" t="s">
        <v>74</v>
      </c>
      <c r="Q76" s="2" t="s">
        <v>53</v>
      </c>
    </row>
    <row r="77" ht="15.75" customHeight="1">
      <c r="A77" s="2">
        <v>50076.0</v>
      </c>
      <c r="B77" s="3">
        <v>46191.0</v>
      </c>
      <c r="C77" s="2">
        <v>1001.0</v>
      </c>
      <c r="D77" s="2" t="s">
        <v>42</v>
      </c>
      <c r="E77" s="2">
        <v>3.0</v>
      </c>
      <c r="F77" s="2">
        <v>2550.0</v>
      </c>
      <c r="G77" s="2">
        <v>0.0</v>
      </c>
      <c r="H77" s="2">
        <v>0.0</v>
      </c>
      <c r="I77" s="2">
        <v>2550.0</v>
      </c>
      <c r="J77" s="2" t="s">
        <v>62</v>
      </c>
      <c r="K77" s="2" t="s">
        <v>19</v>
      </c>
      <c r="L77" s="2" t="s">
        <v>28</v>
      </c>
      <c r="M77" s="2" t="s">
        <v>44</v>
      </c>
      <c r="N77" s="2" t="s">
        <v>34</v>
      </c>
      <c r="O77" s="2">
        <v>850.0</v>
      </c>
      <c r="P77" s="2" t="s">
        <v>74</v>
      </c>
      <c r="Q77" s="2" t="s">
        <v>45</v>
      </c>
    </row>
    <row r="78" ht="15.75" customHeight="1">
      <c r="A78" s="2">
        <v>50077.0</v>
      </c>
      <c r="B78" s="3">
        <v>46193.0</v>
      </c>
      <c r="C78" s="2">
        <v>1007.0</v>
      </c>
      <c r="D78" s="2" t="s">
        <v>42</v>
      </c>
      <c r="E78" s="2">
        <v>3.0</v>
      </c>
      <c r="F78" s="2">
        <v>2550.0</v>
      </c>
      <c r="G78" s="2">
        <v>0.0</v>
      </c>
      <c r="H78" s="2">
        <v>0.0</v>
      </c>
      <c r="I78" s="2">
        <v>2550.0</v>
      </c>
      <c r="J78" s="2" t="s">
        <v>18</v>
      </c>
      <c r="K78" s="2" t="s">
        <v>19</v>
      </c>
      <c r="L78" s="2" t="s">
        <v>20</v>
      </c>
      <c r="M78" s="2" t="s">
        <v>44</v>
      </c>
      <c r="N78" s="2" t="s">
        <v>34</v>
      </c>
      <c r="O78" s="2">
        <v>850.0</v>
      </c>
      <c r="P78" s="2" t="s">
        <v>74</v>
      </c>
      <c r="Q78" s="2" t="s">
        <v>45</v>
      </c>
    </row>
    <row r="79" ht="15.75" customHeight="1">
      <c r="A79" s="2">
        <v>50078.0</v>
      </c>
      <c r="B79" s="3">
        <v>46195.0</v>
      </c>
      <c r="C79" s="2">
        <v>1009.0</v>
      </c>
      <c r="D79" s="2" t="s">
        <v>17</v>
      </c>
      <c r="E79" s="2">
        <v>3.0</v>
      </c>
      <c r="F79" s="2">
        <v>165.0</v>
      </c>
      <c r="G79" s="2">
        <v>0.0</v>
      </c>
      <c r="H79" s="2">
        <v>0.0</v>
      </c>
      <c r="I79" s="2">
        <v>165.0</v>
      </c>
      <c r="J79" s="2" t="s">
        <v>64</v>
      </c>
      <c r="K79" s="2" t="s">
        <v>32</v>
      </c>
      <c r="L79" s="2" t="s">
        <v>20</v>
      </c>
      <c r="M79" s="2" t="s">
        <v>21</v>
      </c>
      <c r="N79" s="2" t="s">
        <v>22</v>
      </c>
      <c r="O79" s="2">
        <v>55.0</v>
      </c>
      <c r="P79" s="2" t="s">
        <v>74</v>
      </c>
      <c r="Q79" s="2" t="s">
        <v>24</v>
      </c>
    </row>
    <row r="80" ht="15.75" customHeight="1">
      <c r="A80" s="2">
        <v>50079.0</v>
      </c>
      <c r="B80" s="3">
        <v>46197.0</v>
      </c>
      <c r="C80" s="2">
        <v>1001.0</v>
      </c>
      <c r="D80" s="2" t="s">
        <v>35</v>
      </c>
      <c r="E80" s="2">
        <v>4.0</v>
      </c>
      <c r="F80" s="2">
        <v>1120.0</v>
      </c>
      <c r="G80" s="2">
        <v>5.0</v>
      </c>
      <c r="H80" s="2">
        <v>56.0</v>
      </c>
      <c r="I80" s="2">
        <v>1064.0</v>
      </c>
      <c r="J80" s="2" t="s">
        <v>62</v>
      </c>
      <c r="K80" s="2" t="s">
        <v>19</v>
      </c>
      <c r="L80" s="2" t="s">
        <v>28</v>
      </c>
      <c r="M80" s="2" t="s">
        <v>37</v>
      </c>
      <c r="N80" s="2" t="s">
        <v>38</v>
      </c>
      <c r="O80" s="2">
        <v>280.0</v>
      </c>
      <c r="P80" s="2" t="s">
        <v>74</v>
      </c>
      <c r="Q80" s="2" t="s">
        <v>53</v>
      </c>
    </row>
    <row r="81" ht="15.75" customHeight="1">
      <c r="A81" s="2">
        <v>50080.0</v>
      </c>
      <c r="B81" s="3">
        <v>46200.0</v>
      </c>
      <c r="C81" s="2">
        <v>1012.0</v>
      </c>
      <c r="D81" s="2" t="s">
        <v>42</v>
      </c>
      <c r="E81" s="2">
        <v>1.0</v>
      </c>
      <c r="F81" s="2">
        <v>850.0</v>
      </c>
      <c r="G81" s="2">
        <v>0.0</v>
      </c>
      <c r="H81" s="2">
        <v>0.0</v>
      </c>
      <c r="I81" s="2">
        <v>850.0</v>
      </c>
      <c r="J81" s="2" t="s">
        <v>58</v>
      </c>
      <c r="K81" s="2" t="s">
        <v>59</v>
      </c>
      <c r="L81" s="2" t="s">
        <v>20</v>
      </c>
      <c r="M81" s="2" t="s">
        <v>44</v>
      </c>
      <c r="N81" s="2" t="s">
        <v>34</v>
      </c>
      <c r="O81" s="2">
        <v>850.0</v>
      </c>
      <c r="P81" s="2" t="s">
        <v>74</v>
      </c>
      <c r="Q81" s="2" t="s">
        <v>53</v>
      </c>
    </row>
    <row r="82" ht="15.75" customHeight="1">
      <c r="A82" s="2">
        <v>50081.0</v>
      </c>
      <c r="B82" s="3">
        <v>46202.0</v>
      </c>
      <c r="C82" s="2">
        <v>1008.0</v>
      </c>
      <c r="D82" s="2" t="s">
        <v>25</v>
      </c>
      <c r="E82" s="2">
        <v>4.0</v>
      </c>
      <c r="F82" s="2">
        <v>100.0</v>
      </c>
      <c r="G82" s="2">
        <v>10.0</v>
      </c>
      <c r="H82" s="2">
        <v>10.0</v>
      </c>
      <c r="I82" s="2">
        <v>90.0</v>
      </c>
      <c r="J82" s="2" t="s">
        <v>39</v>
      </c>
      <c r="K82" s="2" t="s">
        <v>40</v>
      </c>
      <c r="L82" s="2" t="s">
        <v>28</v>
      </c>
      <c r="M82" s="2" t="s">
        <v>29</v>
      </c>
      <c r="N82" s="2" t="s">
        <v>22</v>
      </c>
      <c r="O82" s="2">
        <v>25.0</v>
      </c>
      <c r="P82" s="2" t="s">
        <v>74</v>
      </c>
      <c r="Q82" s="2" t="s">
        <v>24</v>
      </c>
    </row>
    <row r="83" ht="15.75" customHeight="1">
      <c r="A83" s="2">
        <v>50082.0</v>
      </c>
      <c r="B83" s="3">
        <v>46204.0</v>
      </c>
      <c r="C83" s="2">
        <v>1011.0</v>
      </c>
      <c r="D83" s="2" t="s">
        <v>46</v>
      </c>
      <c r="E83" s="2">
        <v>3.0</v>
      </c>
      <c r="F83" s="2">
        <v>225.0</v>
      </c>
      <c r="G83" s="2">
        <v>0.0</v>
      </c>
      <c r="H83" s="2">
        <v>0.0</v>
      </c>
      <c r="I83" s="2">
        <v>225.0</v>
      </c>
      <c r="J83" s="2" t="s">
        <v>36</v>
      </c>
      <c r="K83" s="2" t="s">
        <v>27</v>
      </c>
      <c r="L83" s="2" t="s">
        <v>28</v>
      </c>
      <c r="M83" s="2" t="s">
        <v>47</v>
      </c>
      <c r="N83" s="2" t="s">
        <v>22</v>
      </c>
      <c r="O83" s="2">
        <v>75.0</v>
      </c>
      <c r="P83" s="2" t="s">
        <v>75</v>
      </c>
      <c r="Q83" s="2" t="s">
        <v>24</v>
      </c>
    </row>
    <row r="84" ht="15.75" customHeight="1">
      <c r="A84" s="2">
        <v>50083.0</v>
      </c>
      <c r="B84" s="3">
        <v>46206.0</v>
      </c>
      <c r="C84" s="2">
        <v>1019.0</v>
      </c>
      <c r="D84" s="2" t="s">
        <v>42</v>
      </c>
      <c r="E84" s="2">
        <v>1.0</v>
      </c>
      <c r="F84" s="2">
        <v>850.0</v>
      </c>
      <c r="G84" s="2">
        <v>15.0</v>
      </c>
      <c r="H84" s="2">
        <v>127.5</v>
      </c>
      <c r="I84" s="2">
        <v>722.5</v>
      </c>
      <c r="J84" s="2" t="s">
        <v>43</v>
      </c>
      <c r="K84" s="2" t="s">
        <v>19</v>
      </c>
      <c r="L84" s="2" t="s">
        <v>20</v>
      </c>
      <c r="M84" s="2" t="s">
        <v>44</v>
      </c>
      <c r="N84" s="2" t="s">
        <v>34</v>
      </c>
      <c r="O84" s="2">
        <v>850.0</v>
      </c>
      <c r="P84" s="2" t="s">
        <v>75</v>
      </c>
      <c r="Q84" s="2" t="s">
        <v>53</v>
      </c>
    </row>
    <row r="85" ht="15.75" customHeight="1">
      <c r="A85" s="2">
        <v>50084.0</v>
      </c>
      <c r="B85" s="3">
        <v>46208.0</v>
      </c>
      <c r="C85" s="2">
        <v>1017.0</v>
      </c>
      <c r="D85" s="2" t="s">
        <v>17</v>
      </c>
      <c r="E85" s="2">
        <v>4.0</v>
      </c>
      <c r="F85" s="2">
        <v>220.0</v>
      </c>
      <c r="G85" s="2">
        <v>5.0</v>
      </c>
      <c r="H85" s="2">
        <v>11.0</v>
      </c>
      <c r="I85" s="2">
        <v>209.0</v>
      </c>
      <c r="J85" s="2" t="s">
        <v>66</v>
      </c>
      <c r="K85" s="2" t="s">
        <v>59</v>
      </c>
      <c r="L85" s="2" t="s">
        <v>20</v>
      </c>
      <c r="M85" s="2" t="s">
        <v>21</v>
      </c>
      <c r="N85" s="2" t="s">
        <v>22</v>
      </c>
      <c r="O85" s="2">
        <v>55.0</v>
      </c>
      <c r="P85" s="2" t="s">
        <v>75</v>
      </c>
      <c r="Q85" s="2" t="s">
        <v>24</v>
      </c>
    </row>
    <row r="86" ht="15.75" customHeight="1">
      <c r="A86" s="2">
        <v>50085.0</v>
      </c>
      <c r="B86" s="3">
        <v>46211.0</v>
      </c>
      <c r="C86" s="2">
        <v>1008.0</v>
      </c>
      <c r="D86" s="2" t="s">
        <v>49</v>
      </c>
      <c r="E86" s="2">
        <v>4.0</v>
      </c>
      <c r="F86" s="2">
        <v>380.0</v>
      </c>
      <c r="G86" s="2">
        <v>10.0</v>
      </c>
      <c r="H86" s="2">
        <v>38.0</v>
      </c>
      <c r="I86" s="2">
        <v>342.0</v>
      </c>
      <c r="J86" s="2" t="s">
        <v>39</v>
      </c>
      <c r="K86" s="2" t="s">
        <v>40</v>
      </c>
      <c r="L86" s="2" t="s">
        <v>28</v>
      </c>
      <c r="M86" s="2" t="s">
        <v>51</v>
      </c>
      <c r="N86" s="2" t="s">
        <v>34</v>
      </c>
      <c r="O86" s="2">
        <v>95.0</v>
      </c>
      <c r="P86" s="2" t="s">
        <v>75</v>
      </c>
      <c r="Q86" s="2" t="s">
        <v>24</v>
      </c>
    </row>
    <row r="87" ht="15.75" customHeight="1">
      <c r="A87" s="2">
        <v>50086.0</v>
      </c>
      <c r="B87" s="3">
        <v>46213.0</v>
      </c>
      <c r="C87" s="2">
        <v>1003.0</v>
      </c>
      <c r="D87" s="2" t="s">
        <v>35</v>
      </c>
      <c r="E87" s="2">
        <v>3.0</v>
      </c>
      <c r="F87" s="2">
        <v>840.0</v>
      </c>
      <c r="G87" s="2">
        <v>0.0</v>
      </c>
      <c r="H87" s="2">
        <v>0.0</v>
      </c>
      <c r="I87" s="2">
        <v>840.0</v>
      </c>
      <c r="J87" s="2" t="s">
        <v>54</v>
      </c>
      <c r="K87" s="2" t="s">
        <v>32</v>
      </c>
      <c r="L87" s="2" t="s">
        <v>28</v>
      </c>
      <c r="M87" s="2" t="s">
        <v>37</v>
      </c>
      <c r="N87" s="2" t="s">
        <v>38</v>
      </c>
      <c r="O87" s="2">
        <v>280.0</v>
      </c>
      <c r="P87" s="2" t="s">
        <v>75</v>
      </c>
      <c r="Q87" s="2" t="s">
        <v>53</v>
      </c>
    </row>
    <row r="88" ht="15.75" customHeight="1">
      <c r="A88" s="2">
        <v>50087.0</v>
      </c>
      <c r="B88" s="3">
        <v>46215.0</v>
      </c>
      <c r="C88" s="2">
        <v>1003.0</v>
      </c>
      <c r="D88" s="2" t="s">
        <v>30</v>
      </c>
      <c r="E88" s="2">
        <v>1.0</v>
      </c>
      <c r="F88" s="2">
        <v>500.0</v>
      </c>
      <c r="G88" s="2">
        <v>0.0</v>
      </c>
      <c r="H88" s="2">
        <v>0.0</v>
      </c>
      <c r="I88" s="2">
        <v>500.0</v>
      </c>
      <c r="J88" s="2" t="s">
        <v>54</v>
      </c>
      <c r="K88" s="2" t="s">
        <v>32</v>
      </c>
      <c r="L88" s="2" t="s">
        <v>28</v>
      </c>
      <c r="M88" s="2" t="s">
        <v>33</v>
      </c>
      <c r="N88" s="2" t="s">
        <v>34</v>
      </c>
      <c r="O88" s="2">
        <v>500.0</v>
      </c>
      <c r="P88" s="2" t="s">
        <v>75</v>
      </c>
      <c r="Q88" s="2" t="s">
        <v>24</v>
      </c>
    </row>
    <row r="89" ht="15.75" customHeight="1">
      <c r="A89" s="2">
        <v>50088.0</v>
      </c>
      <c r="B89" s="3">
        <v>46217.0</v>
      </c>
      <c r="C89" s="2">
        <v>1001.0</v>
      </c>
      <c r="D89" s="2" t="s">
        <v>17</v>
      </c>
      <c r="E89" s="2">
        <v>3.0</v>
      </c>
      <c r="F89" s="2">
        <v>165.0</v>
      </c>
      <c r="G89" s="2">
        <v>5.0</v>
      </c>
      <c r="H89" s="2">
        <v>8.25</v>
      </c>
      <c r="I89" s="2">
        <v>156.75</v>
      </c>
      <c r="J89" s="2" t="s">
        <v>62</v>
      </c>
      <c r="K89" s="2" t="s">
        <v>19</v>
      </c>
      <c r="L89" s="2" t="s">
        <v>28</v>
      </c>
      <c r="M89" s="2" t="s">
        <v>21</v>
      </c>
      <c r="N89" s="2" t="s">
        <v>22</v>
      </c>
      <c r="O89" s="2">
        <v>55.0</v>
      </c>
      <c r="P89" s="2" t="s">
        <v>75</v>
      </c>
      <c r="Q89" s="2" t="s">
        <v>24</v>
      </c>
    </row>
    <row r="90" ht="15.75" customHeight="1">
      <c r="A90" s="2">
        <v>50089.0</v>
      </c>
      <c r="B90" s="3">
        <v>46219.0</v>
      </c>
      <c r="C90" s="2">
        <v>1005.0</v>
      </c>
      <c r="D90" s="2" t="s">
        <v>42</v>
      </c>
      <c r="E90" s="2">
        <v>1.0</v>
      </c>
      <c r="F90" s="2">
        <v>850.0</v>
      </c>
      <c r="G90" s="2">
        <v>0.0</v>
      </c>
      <c r="H90" s="2">
        <v>0.0</v>
      </c>
      <c r="I90" s="2">
        <v>850.0</v>
      </c>
      <c r="J90" s="2" t="s">
        <v>63</v>
      </c>
      <c r="K90" s="2" t="s">
        <v>59</v>
      </c>
      <c r="L90" s="2" t="s">
        <v>20</v>
      </c>
      <c r="M90" s="2" t="s">
        <v>44</v>
      </c>
      <c r="N90" s="2" t="s">
        <v>34</v>
      </c>
      <c r="O90" s="2">
        <v>850.0</v>
      </c>
      <c r="P90" s="2" t="s">
        <v>75</v>
      </c>
      <c r="Q90" s="2" t="s">
        <v>53</v>
      </c>
    </row>
    <row r="91" ht="15.75" customHeight="1">
      <c r="A91" s="2">
        <v>50090.0</v>
      </c>
      <c r="B91" s="3">
        <v>46222.0</v>
      </c>
      <c r="C91" s="2">
        <v>1010.0</v>
      </c>
      <c r="D91" s="2" t="s">
        <v>35</v>
      </c>
      <c r="E91" s="2">
        <v>5.0</v>
      </c>
      <c r="F91" s="2">
        <v>1400.0</v>
      </c>
      <c r="G91" s="2">
        <v>0.0</v>
      </c>
      <c r="H91" s="2">
        <v>0.0</v>
      </c>
      <c r="I91" s="2">
        <v>1400.0</v>
      </c>
      <c r="J91" s="2" t="s">
        <v>65</v>
      </c>
      <c r="K91" s="2" t="s">
        <v>19</v>
      </c>
      <c r="L91" s="2" t="s">
        <v>28</v>
      </c>
      <c r="M91" s="2" t="s">
        <v>37</v>
      </c>
      <c r="N91" s="2" t="s">
        <v>38</v>
      </c>
      <c r="O91" s="2">
        <v>280.0</v>
      </c>
      <c r="P91" s="2" t="s">
        <v>75</v>
      </c>
      <c r="Q91" s="2" t="s">
        <v>53</v>
      </c>
    </row>
    <row r="92" ht="15.75" customHeight="1">
      <c r="A92" s="2">
        <v>50091.0</v>
      </c>
      <c r="B92" s="3">
        <v>46224.0</v>
      </c>
      <c r="C92" s="2">
        <v>1007.0</v>
      </c>
      <c r="D92" s="2" t="s">
        <v>46</v>
      </c>
      <c r="E92" s="2">
        <v>2.0</v>
      </c>
      <c r="F92" s="2">
        <v>150.0</v>
      </c>
      <c r="G92" s="2">
        <v>15.0</v>
      </c>
      <c r="H92" s="2">
        <v>22.5</v>
      </c>
      <c r="I92" s="2">
        <v>127.5</v>
      </c>
      <c r="J92" s="2" t="s">
        <v>18</v>
      </c>
      <c r="K92" s="2" t="s">
        <v>19</v>
      </c>
      <c r="L92" s="2" t="s">
        <v>20</v>
      </c>
      <c r="M92" s="2" t="s">
        <v>47</v>
      </c>
      <c r="N92" s="2" t="s">
        <v>22</v>
      </c>
      <c r="O92" s="2">
        <v>75.0</v>
      </c>
      <c r="P92" s="2" t="s">
        <v>75</v>
      </c>
      <c r="Q92" s="2" t="s">
        <v>24</v>
      </c>
    </row>
    <row r="93" ht="15.75" customHeight="1">
      <c r="A93" s="2">
        <v>50092.0</v>
      </c>
      <c r="B93" s="3">
        <v>46226.0</v>
      </c>
      <c r="C93" s="2">
        <v>1009.0</v>
      </c>
      <c r="D93" s="2" t="s">
        <v>42</v>
      </c>
      <c r="E93" s="2">
        <v>2.0</v>
      </c>
      <c r="F93" s="2">
        <v>1700.0</v>
      </c>
      <c r="G93" s="2">
        <v>10.0</v>
      </c>
      <c r="H93" s="2">
        <v>170.0</v>
      </c>
      <c r="I93" s="2">
        <v>1530.0</v>
      </c>
      <c r="J93" s="2" t="s">
        <v>64</v>
      </c>
      <c r="K93" s="2" t="s">
        <v>32</v>
      </c>
      <c r="L93" s="2" t="s">
        <v>20</v>
      </c>
      <c r="M93" s="2" t="s">
        <v>44</v>
      </c>
      <c r="N93" s="2" t="s">
        <v>34</v>
      </c>
      <c r="O93" s="2">
        <v>850.0</v>
      </c>
      <c r="P93" s="2" t="s">
        <v>75</v>
      </c>
      <c r="Q93" s="2" t="s">
        <v>45</v>
      </c>
    </row>
    <row r="94" ht="15.75" customHeight="1">
      <c r="A94" s="2">
        <v>50093.0</v>
      </c>
      <c r="B94" s="3">
        <v>46228.0</v>
      </c>
      <c r="C94" s="2">
        <v>1007.0</v>
      </c>
      <c r="D94" s="2" t="s">
        <v>17</v>
      </c>
      <c r="E94" s="2">
        <v>2.0</v>
      </c>
      <c r="F94" s="2">
        <v>110.0</v>
      </c>
      <c r="G94" s="2">
        <v>0.0</v>
      </c>
      <c r="H94" s="2">
        <v>0.0</v>
      </c>
      <c r="I94" s="2">
        <v>110.0</v>
      </c>
      <c r="J94" s="2" t="s">
        <v>18</v>
      </c>
      <c r="K94" s="2" t="s">
        <v>19</v>
      </c>
      <c r="L94" s="2" t="s">
        <v>20</v>
      </c>
      <c r="M94" s="2" t="s">
        <v>21</v>
      </c>
      <c r="N94" s="2" t="s">
        <v>22</v>
      </c>
      <c r="O94" s="2">
        <v>55.0</v>
      </c>
      <c r="P94" s="2" t="s">
        <v>75</v>
      </c>
      <c r="Q94" s="2" t="s">
        <v>24</v>
      </c>
    </row>
    <row r="95" ht="15.75" customHeight="1">
      <c r="A95" s="2">
        <v>50094.0</v>
      </c>
      <c r="B95" s="3">
        <v>46230.0</v>
      </c>
      <c r="C95" s="2">
        <v>1009.0</v>
      </c>
      <c r="D95" s="2" t="s">
        <v>55</v>
      </c>
      <c r="E95" s="2">
        <v>3.0</v>
      </c>
      <c r="F95" s="2">
        <v>960.0</v>
      </c>
      <c r="G95" s="2">
        <v>0.0</v>
      </c>
      <c r="H95" s="2">
        <v>0.0</v>
      </c>
      <c r="I95" s="2">
        <v>960.0</v>
      </c>
      <c r="J95" s="2" t="s">
        <v>64</v>
      </c>
      <c r="K95" s="2" t="s">
        <v>32</v>
      </c>
      <c r="L95" s="2" t="s">
        <v>20</v>
      </c>
      <c r="M95" s="2" t="s">
        <v>56</v>
      </c>
      <c r="N95" s="2" t="s">
        <v>34</v>
      </c>
      <c r="O95" s="2">
        <v>320.0</v>
      </c>
      <c r="P95" s="2" t="s">
        <v>75</v>
      </c>
      <c r="Q95" s="2" t="s">
        <v>53</v>
      </c>
    </row>
    <row r="96" ht="15.75" customHeight="1">
      <c r="A96" s="2">
        <v>50095.0</v>
      </c>
      <c r="B96" s="3">
        <v>46233.0</v>
      </c>
      <c r="C96" s="2">
        <v>1008.0</v>
      </c>
      <c r="D96" s="2" t="s">
        <v>25</v>
      </c>
      <c r="E96" s="2">
        <v>5.0</v>
      </c>
      <c r="F96" s="2">
        <v>125.0</v>
      </c>
      <c r="G96" s="2">
        <v>0.0</v>
      </c>
      <c r="H96" s="2">
        <v>0.0</v>
      </c>
      <c r="I96" s="2">
        <v>125.0</v>
      </c>
      <c r="J96" s="2" t="s">
        <v>39</v>
      </c>
      <c r="K96" s="2" t="s">
        <v>40</v>
      </c>
      <c r="L96" s="2" t="s">
        <v>28</v>
      </c>
      <c r="M96" s="2" t="s">
        <v>29</v>
      </c>
      <c r="N96" s="2" t="s">
        <v>22</v>
      </c>
      <c r="O96" s="2">
        <v>25.0</v>
      </c>
      <c r="P96" s="2" t="s">
        <v>75</v>
      </c>
      <c r="Q96" s="2" t="s">
        <v>24</v>
      </c>
    </row>
    <row r="97" ht="15.75" customHeight="1">
      <c r="A97" s="2">
        <v>50096.0</v>
      </c>
      <c r="B97" s="3">
        <v>46235.0</v>
      </c>
      <c r="C97" s="2">
        <v>1012.0</v>
      </c>
      <c r="D97" s="2" t="s">
        <v>30</v>
      </c>
      <c r="E97" s="2">
        <v>1.0</v>
      </c>
      <c r="F97" s="2">
        <v>500.0</v>
      </c>
      <c r="G97" s="2">
        <v>10.0</v>
      </c>
      <c r="H97" s="2">
        <v>50.0</v>
      </c>
      <c r="I97" s="2">
        <v>450.0</v>
      </c>
      <c r="J97" s="2" t="s">
        <v>58</v>
      </c>
      <c r="K97" s="2" t="s">
        <v>59</v>
      </c>
      <c r="L97" s="2" t="s">
        <v>20</v>
      </c>
      <c r="M97" s="2" t="s">
        <v>33</v>
      </c>
      <c r="N97" s="2" t="s">
        <v>34</v>
      </c>
      <c r="O97" s="2">
        <v>500.0</v>
      </c>
      <c r="P97" s="2" t="s">
        <v>76</v>
      </c>
      <c r="Q97" s="2" t="s">
        <v>24</v>
      </c>
    </row>
    <row r="98" ht="15.75" customHeight="1">
      <c r="A98" s="2">
        <v>50097.0</v>
      </c>
      <c r="B98" s="3">
        <v>46237.0</v>
      </c>
      <c r="C98" s="2">
        <v>1002.0</v>
      </c>
      <c r="D98" s="2" t="s">
        <v>49</v>
      </c>
      <c r="E98" s="2">
        <v>4.0</v>
      </c>
      <c r="F98" s="2">
        <v>380.0</v>
      </c>
      <c r="G98" s="2">
        <v>0.0</v>
      </c>
      <c r="H98" s="2">
        <v>0.0</v>
      </c>
      <c r="I98" s="2">
        <v>380.0</v>
      </c>
      <c r="J98" s="2" t="s">
        <v>57</v>
      </c>
      <c r="K98" s="2" t="s">
        <v>27</v>
      </c>
      <c r="L98" s="2" t="s">
        <v>20</v>
      </c>
      <c r="M98" s="2" t="s">
        <v>51</v>
      </c>
      <c r="N98" s="2" t="s">
        <v>34</v>
      </c>
      <c r="O98" s="2">
        <v>95.0</v>
      </c>
      <c r="P98" s="2" t="s">
        <v>76</v>
      </c>
      <c r="Q98" s="2" t="s">
        <v>24</v>
      </c>
    </row>
    <row r="99" ht="15.75" customHeight="1">
      <c r="A99" s="2">
        <v>50098.0</v>
      </c>
      <c r="B99" s="3">
        <v>46239.0</v>
      </c>
      <c r="C99" s="2">
        <v>1001.0</v>
      </c>
      <c r="D99" s="2" t="s">
        <v>17</v>
      </c>
      <c r="E99" s="2">
        <v>1.0</v>
      </c>
      <c r="F99" s="2">
        <v>55.0</v>
      </c>
      <c r="G99" s="2">
        <v>0.0</v>
      </c>
      <c r="H99" s="2">
        <v>0.0</v>
      </c>
      <c r="I99" s="2">
        <v>55.0</v>
      </c>
      <c r="J99" s="2" t="s">
        <v>62</v>
      </c>
      <c r="K99" s="2" t="s">
        <v>19</v>
      </c>
      <c r="L99" s="2" t="s">
        <v>28</v>
      </c>
      <c r="M99" s="2" t="s">
        <v>21</v>
      </c>
      <c r="N99" s="2" t="s">
        <v>22</v>
      </c>
      <c r="O99" s="2">
        <v>55.0</v>
      </c>
      <c r="P99" s="2" t="s">
        <v>76</v>
      </c>
      <c r="Q99" s="2" t="s">
        <v>24</v>
      </c>
    </row>
    <row r="100" ht="15.75" customHeight="1">
      <c r="A100" s="2">
        <v>50099.0</v>
      </c>
      <c r="B100" s="3">
        <v>46241.0</v>
      </c>
      <c r="C100" s="2">
        <v>1016.0</v>
      </c>
      <c r="D100" s="2" t="s">
        <v>35</v>
      </c>
      <c r="E100" s="2">
        <v>4.0</v>
      </c>
      <c r="F100" s="2">
        <v>1120.0</v>
      </c>
      <c r="G100" s="2">
        <v>0.0</v>
      </c>
      <c r="H100" s="2">
        <v>0.0</v>
      </c>
      <c r="I100" s="2">
        <v>1120.0</v>
      </c>
      <c r="J100" s="2" t="s">
        <v>69</v>
      </c>
      <c r="K100" s="2" t="s">
        <v>27</v>
      </c>
      <c r="L100" s="2" t="s">
        <v>28</v>
      </c>
      <c r="M100" s="2" t="s">
        <v>37</v>
      </c>
      <c r="N100" s="2" t="s">
        <v>38</v>
      </c>
      <c r="O100" s="2">
        <v>280.0</v>
      </c>
      <c r="P100" s="2" t="s">
        <v>76</v>
      </c>
      <c r="Q100" s="2" t="s">
        <v>53</v>
      </c>
    </row>
    <row r="101" ht="15.75" customHeight="1">
      <c r="A101" s="2">
        <v>50100.0</v>
      </c>
      <c r="B101" s="3">
        <v>46244.0</v>
      </c>
      <c r="C101" s="2">
        <v>1005.0</v>
      </c>
      <c r="D101" s="2" t="s">
        <v>30</v>
      </c>
      <c r="E101" s="2">
        <v>1.0</v>
      </c>
      <c r="F101" s="2">
        <v>500.0</v>
      </c>
      <c r="G101" s="2">
        <v>0.0</v>
      </c>
      <c r="H101" s="2">
        <v>0.0</v>
      </c>
      <c r="I101" s="2">
        <v>500.0</v>
      </c>
      <c r="J101" s="2" t="s">
        <v>63</v>
      </c>
      <c r="K101" s="2" t="s">
        <v>59</v>
      </c>
      <c r="L101" s="2" t="s">
        <v>20</v>
      </c>
      <c r="M101" s="2" t="s">
        <v>33</v>
      </c>
      <c r="N101" s="2" t="s">
        <v>34</v>
      </c>
      <c r="O101" s="2">
        <v>500.0</v>
      </c>
      <c r="P101" s="2" t="s">
        <v>76</v>
      </c>
      <c r="Q101" s="2" t="s">
        <v>24</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6.29"/>
    <col customWidth="1" min="5" max="5" width="18.71"/>
  </cols>
  <sheetData>
    <row r="1">
      <c r="A1" s="4" t="s">
        <v>77</v>
      </c>
    </row>
    <row r="3">
      <c r="A3" s="4" t="s">
        <v>78</v>
      </c>
      <c r="B3" s="4" t="s">
        <v>79</v>
      </c>
      <c r="C3" s="4" t="s">
        <v>80</v>
      </c>
      <c r="D3" s="4" t="s">
        <v>81</v>
      </c>
      <c r="E3" s="4" t="s">
        <v>82</v>
      </c>
    </row>
    <row r="4">
      <c r="A4" s="2">
        <f>counta(Orders!A2:A1000)</f>
        <v>100</v>
      </c>
      <c r="B4" s="2">
        <f>SUM(Orders!F2:F1000)</f>
        <v>58400</v>
      </c>
      <c r="C4" s="2">
        <f>SUM(Orders!I2:I101)</f>
        <v>56311.5</v>
      </c>
      <c r="D4" s="2">
        <f>SUM(Orders!E2:E1000)</f>
        <v>268</v>
      </c>
      <c r="E4" s="2">
        <f>C4/A4</f>
        <v>563.115</v>
      </c>
    </row>
    <row r="7">
      <c r="A7" s="4" t="s">
        <v>83</v>
      </c>
      <c r="C7" s="4" t="s">
        <v>84</v>
      </c>
    </row>
    <row r="8">
      <c r="A8" s="6" t="s">
        <v>85</v>
      </c>
      <c r="B8" s="6" t="s">
        <v>79</v>
      </c>
      <c r="C8" s="6" t="s">
        <v>86</v>
      </c>
      <c r="D8" s="6" t="s">
        <v>79</v>
      </c>
    </row>
    <row r="9">
      <c r="A9" s="4" t="s">
        <v>19</v>
      </c>
      <c r="B9" s="2">
        <f>SUMIF(Analysis_Practice!K:K,"Milan",Analysis_Practice!F:F)</f>
        <v>21405</v>
      </c>
      <c r="C9" s="4" t="s">
        <v>34</v>
      </c>
      <c r="D9" s="2">
        <f>sumif(Analysis_Practice!N:N,C9,Analysis_Practice!F:F)</f>
        <v>39775</v>
      </c>
    </row>
    <row r="10">
      <c r="A10" s="4" t="s">
        <v>27</v>
      </c>
      <c r="B10" s="2">
        <f>sumif(Analysis_Practice!K:K,"Rome",Analysis_Practice!F:F)</f>
        <v>7715</v>
      </c>
      <c r="C10" s="4" t="s">
        <v>38</v>
      </c>
      <c r="D10" s="2">
        <f>sumif(Analysis_Practice!N:N,C10,Analysis_Practice!F:F)</f>
        <v>12880</v>
      </c>
    </row>
    <row r="11">
      <c r="A11" s="4" t="s">
        <v>32</v>
      </c>
      <c r="B11" s="2">
        <f>SUMIF(Analysis_Practice!K:K,"turin",Analysis_Practice!F:F)</f>
        <v>11540</v>
      </c>
      <c r="C11" s="4" t="s">
        <v>22</v>
      </c>
      <c r="D11" s="2">
        <f>sumif(Analysis_Practice!N:N,C11,Analysis_Practice!F:F)</f>
        <v>5745</v>
      </c>
    </row>
    <row r="12">
      <c r="A12" s="4" t="s">
        <v>40</v>
      </c>
      <c r="B12" s="2">
        <f>SUMIF(Analysis_Practice!K:K,"naples",Analysis_Practice!F:F)</f>
        <v>12085</v>
      </c>
    </row>
    <row r="13">
      <c r="A13" s="4" t="s">
        <v>59</v>
      </c>
      <c r="B13" s="2">
        <f>SUMIF(Analysis_Practice!K:K,"bologna",Analysis_Practice!F:F)</f>
        <v>5655</v>
      </c>
    </row>
    <row r="15">
      <c r="A15" s="4" t="s">
        <v>87</v>
      </c>
      <c r="C15" s="4" t="s">
        <v>88</v>
      </c>
      <c r="D15" s="4" t="s">
        <v>89</v>
      </c>
    </row>
    <row r="16">
      <c r="A16" s="6" t="s">
        <v>90</v>
      </c>
      <c r="B16" s="6" t="s">
        <v>79</v>
      </c>
      <c r="C16" s="7">
        <v>46023.0</v>
      </c>
      <c r="D16" s="2">
        <f>SUMIF(Analysis_Practice!P:P,C16,Analysis_Practice!F:F)</f>
        <v>7400</v>
      </c>
    </row>
    <row r="17">
      <c r="A17" s="4" t="s">
        <v>44</v>
      </c>
      <c r="B17" s="2">
        <f>SUMIF(Analysis_Practice!M:M,"LAPTOP",Analysis_Practice!F:F)</f>
        <v>23800</v>
      </c>
      <c r="C17" s="7">
        <v>46054.0</v>
      </c>
      <c r="D17" s="2">
        <f>SUMIF(Analysis_Practice!P:P,C17,Analysis_Practice!F:F)</f>
        <v>6830</v>
      </c>
    </row>
    <row r="18">
      <c r="A18" s="4" t="s">
        <v>56</v>
      </c>
      <c r="B18" s="2">
        <f>sumif(Analysis_Practice!M:M,"monitor",Analysis_Practice!F:F)</f>
        <v>5440</v>
      </c>
      <c r="C18" s="7">
        <v>46082.0</v>
      </c>
      <c r="D18" s="2">
        <f>SUMIF(Analysis_Practice!P:P,C18,Analysis_Practice!F:F)</f>
        <v>8030</v>
      </c>
    </row>
    <row r="19">
      <c r="A19" s="4" t="s">
        <v>21</v>
      </c>
      <c r="B19" s="2">
        <f>SUMIF(Analysis_Practice!M:M,"Keyboard",Analysis_Practice!F:F)</f>
        <v>2145</v>
      </c>
    </row>
    <row r="20">
      <c r="A20" s="4" t="s">
        <v>91</v>
      </c>
      <c r="B20" s="2">
        <f>SUMIF(Analysis_Practice!M:M,"Printer",Analysis_Practice!F:F)</f>
        <v>12880</v>
      </c>
    </row>
    <row r="21">
      <c r="A21" s="4" t="s">
        <v>51</v>
      </c>
      <c r="B21" s="2">
        <f>SUMIF(Analysis_Practice!M:M,"Webcam",Analysis_Practice!F:F)</f>
        <v>5035</v>
      </c>
    </row>
    <row r="22">
      <c r="A22" s="4" t="s">
        <v>33</v>
      </c>
      <c r="B22" s="2">
        <f>SUMIF(Analysis_Practice!M:M,"Tablet",Analysis_Practice!F:F)</f>
        <v>5500</v>
      </c>
    </row>
    <row r="24">
      <c r="A24" s="4" t="s">
        <v>92</v>
      </c>
    </row>
    <row r="25">
      <c r="A25" s="6" t="s">
        <v>93</v>
      </c>
      <c r="B25" s="6" t="s">
        <v>79</v>
      </c>
    </row>
    <row r="26">
      <c r="A26" s="4" t="s">
        <v>62</v>
      </c>
      <c r="B26" s="2">
        <f>SUMIF(Analysis_Practice!J:J,A26,Analysis_Practice!F:F)</f>
        <v>4080</v>
      </c>
    </row>
    <row r="27">
      <c r="A27" s="4" t="s">
        <v>57</v>
      </c>
      <c r="B27" s="2">
        <f>SUMIF(Analysis_Practice!J:J,A27,Analysis_Practice!F:F)</f>
        <v>3095</v>
      </c>
    </row>
    <row r="28">
      <c r="A28" s="4" t="s">
        <v>94</v>
      </c>
      <c r="B28" s="2">
        <f>SUMIF(Analysis_Practice!J:J,A28,Analysis_Practice!F:F)</f>
        <v>0</v>
      </c>
    </row>
    <row r="29">
      <c r="A29" s="4" t="s">
        <v>63</v>
      </c>
      <c r="B29" s="2">
        <f>SUMIF(Analysis_Practice!J:J,A29,Analysis_Practice!F:F)</f>
        <v>1635</v>
      </c>
    </row>
    <row r="30">
      <c r="A30" s="4" t="s">
        <v>61</v>
      </c>
      <c r="B30" s="2">
        <f>SUMIF(Analysis_Practice!J:J,A30,Analysis_Practice!F:F)</f>
        <v>640</v>
      </c>
      <c r="D30" s="2" t="s">
        <v>48</v>
      </c>
      <c r="E30" s="2" t="s">
        <v>95</v>
      </c>
    </row>
    <row r="31">
      <c r="A31" s="2" t="s">
        <v>18</v>
      </c>
      <c r="B31" s="2">
        <f>SUMIF(Analysis_Practice!J:J,A31,Analysis_Practice!F:F)</f>
        <v>3990</v>
      </c>
      <c r="D31" s="2" t="s">
        <v>36</v>
      </c>
      <c r="E31" s="2">
        <v>800.75</v>
      </c>
    </row>
    <row r="32">
      <c r="A32" s="2" t="s">
        <v>39</v>
      </c>
      <c r="B32" s="2">
        <f>SUMIF(Analysis_Practice!J:J,A32,Analysis_Practice!F:F)</f>
        <v>3870</v>
      </c>
      <c r="D32" s="2" t="s">
        <v>50</v>
      </c>
      <c r="E32" s="2">
        <v>2031.25</v>
      </c>
    </row>
    <row r="33">
      <c r="A33" s="2" t="s">
        <v>64</v>
      </c>
      <c r="B33" s="2">
        <f>SUMIF(Analysis_Practice!J:J,A33,Analysis_Practice!F:F)</f>
        <v>6735</v>
      </c>
      <c r="D33" s="2" t="s">
        <v>57</v>
      </c>
      <c r="E33" s="2">
        <v>2964.75</v>
      </c>
    </row>
    <row r="34">
      <c r="A34" s="2" t="s">
        <v>65</v>
      </c>
      <c r="B34" s="2">
        <f>SUMIF(Analysis_Practice!J:J,A34,Analysis_Practice!F:F)</f>
        <v>2525</v>
      </c>
      <c r="D34" s="2" t="s">
        <v>58</v>
      </c>
      <c r="E34" s="2">
        <v>3241.75</v>
      </c>
    </row>
    <row r="35">
      <c r="A35" s="2" t="s">
        <v>36</v>
      </c>
      <c r="B35" s="2">
        <f>SUMIF(Analysis_Practice!J:J,A35,Analysis_Practice!F:F)</f>
        <v>840</v>
      </c>
      <c r="D35" s="2" t="s">
        <v>39</v>
      </c>
      <c r="E35" s="2">
        <v>3713.0</v>
      </c>
    </row>
    <row r="36">
      <c r="A36" s="2" t="s">
        <v>58</v>
      </c>
      <c r="B36" s="2">
        <f>SUMIF(Analysis_Practice!J:J,A36,Analysis_Practice!F:F)</f>
        <v>3460</v>
      </c>
      <c r="D36" s="2" t="s">
        <v>61</v>
      </c>
      <c r="E36" s="2">
        <v>624.0</v>
      </c>
    </row>
    <row r="37">
      <c r="A37" s="2" t="s">
        <v>67</v>
      </c>
      <c r="B37" s="2">
        <f>SUMIF(Analysis_Practice!J:J,A37,Analysis_Practice!F:F)</f>
        <v>5420</v>
      </c>
      <c r="D37" s="2" t="s">
        <v>18</v>
      </c>
      <c r="E37" s="2">
        <v>3962.25</v>
      </c>
    </row>
    <row r="38">
      <c r="A38" s="2" t="s">
        <v>68</v>
      </c>
      <c r="B38" s="2">
        <f>SUMIF(Analysis_Practice!J:J,A38,Analysis_Practice!F:F)</f>
        <v>2745</v>
      </c>
      <c r="D38" s="2" t="s">
        <v>70</v>
      </c>
      <c r="E38" s="2">
        <v>2742.25</v>
      </c>
    </row>
    <row r="39">
      <c r="A39" s="2" t="s">
        <v>31</v>
      </c>
      <c r="B39" s="2">
        <f>SUMIF(Analysis_Practice!J:J,A39,Analysis_Practice!F:F)</f>
        <v>3095</v>
      </c>
      <c r="D39" s="2" t="s">
        <v>31</v>
      </c>
      <c r="E39" s="2">
        <v>3048.0</v>
      </c>
    </row>
    <row r="40">
      <c r="A40" s="2" t="s">
        <v>69</v>
      </c>
      <c r="B40" s="2">
        <f>SUMIF(Analysis_Practice!J:J,A40,Analysis_Practice!F:F)</f>
        <v>2455</v>
      </c>
      <c r="D40" s="2" t="s">
        <v>54</v>
      </c>
      <c r="E40" s="2">
        <v>1677.75</v>
      </c>
    </row>
    <row r="41">
      <c r="A41" s="2" t="s">
        <v>66</v>
      </c>
      <c r="B41" s="2">
        <f>SUMIF(Analysis_Practice!J:J,A41,Analysis_Practice!F:F)</f>
        <v>560</v>
      </c>
      <c r="D41" s="2" t="s">
        <v>65</v>
      </c>
      <c r="E41" s="2">
        <v>2482.5</v>
      </c>
    </row>
    <row r="42">
      <c r="A42" s="2" t="s">
        <v>70</v>
      </c>
      <c r="B42" s="2">
        <f>SUMIF(Analysis_Practice!J:J,A42,Analysis_Practice!F:F)</f>
        <v>2795</v>
      </c>
      <c r="D42" s="2" t="s">
        <v>68</v>
      </c>
      <c r="E42" s="2">
        <v>2633.0</v>
      </c>
      <c r="G42" s="2" t="s">
        <v>1</v>
      </c>
      <c r="H42" s="2" t="s">
        <v>95</v>
      </c>
    </row>
    <row r="43">
      <c r="A43" s="2" t="s">
        <v>43</v>
      </c>
      <c r="B43" s="2">
        <f>SUMIF(Analysis_Practice!J:J,A43,Analysis_Practice!F:F)</f>
        <v>6030</v>
      </c>
      <c r="D43" s="2" t="s">
        <v>43</v>
      </c>
      <c r="E43" s="2">
        <v>5465.5</v>
      </c>
      <c r="G43" s="2"/>
      <c r="H43" s="2">
        <v>0.0</v>
      </c>
    </row>
    <row r="44">
      <c r="A44" s="2" t="s">
        <v>26</v>
      </c>
      <c r="B44" s="2">
        <f>SUMIF(Analysis_Practice!J:J,A44,Analysis_Practice!F:F)</f>
        <v>685</v>
      </c>
      <c r="D44" s="2" t="s">
        <v>67</v>
      </c>
      <c r="E44" s="2">
        <v>5335.0</v>
      </c>
      <c r="G44" s="8">
        <v>46027.0</v>
      </c>
      <c r="H44" s="2">
        <v>52.25</v>
      </c>
    </row>
    <row r="45">
      <c r="D45" s="2" t="s">
        <v>66</v>
      </c>
      <c r="E45" s="2">
        <v>549.0</v>
      </c>
      <c r="G45" s="8">
        <v>46029.0</v>
      </c>
      <c r="H45" s="2">
        <v>100.0</v>
      </c>
    </row>
    <row r="46">
      <c r="D46" s="2" t="s">
        <v>63</v>
      </c>
      <c r="E46" s="2">
        <v>1606.5</v>
      </c>
      <c r="G46" s="8">
        <v>46031.0</v>
      </c>
      <c r="H46" s="2">
        <v>500.0</v>
      </c>
    </row>
    <row r="47">
      <c r="D47" s="2" t="s">
        <v>26</v>
      </c>
      <c r="E47" s="2">
        <v>685.0</v>
      </c>
      <c r="G47" s="8">
        <v>46033.0</v>
      </c>
      <c r="H47" s="2">
        <v>252.0</v>
      </c>
    </row>
    <row r="48">
      <c r="D48" s="2" t="s">
        <v>69</v>
      </c>
      <c r="E48" s="2">
        <v>2390.75</v>
      </c>
      <c r="G48" s="8">
        <v>46035.0</v>
      </c>
      <c r="H48" s="2">
        <v>99.0</v>
      </c>
    </row>
    <row r="49">
      <c r="D49" s="2" t="s">
        <v>62</v>
      </c>
      <c r="E49" s="2">
        <v>4006.25</v>
      </c>
      <c r="G49" s="8">
        <v>46037.0</v>
      </c>
      <c r="H49" s="2">
        <v>220.0</v>
      </c>
    </row>
    <row r="50">
      <c r="D50" s="2" t="s">
        <v>64</v>
      </c>
      <c r="E50" s="2">
        <v>6352.25</v>
      </c>
      <c r="G50" s="8">
        <v>46040.0</v>
      </c>
      <c r="H50" s="2">
        <v>3230.0</v>
      </c>
    </row>
    <row r="51">
      <c r="D51" s="2"/>
      <c r="E51" s="2">
        <v>0.0</v>
      </c>
      <c r="G51" s="8">
        <v>46042.0</v>
      </c>
      <c r="H51" s="2">
        <v>110.0</v>
      </c>
    </row>
    <row r="52">
      <c r="D52" s="2" t="s">
        <v>97</v>
      </c>
      <c r="E52" s="2">
        <v>56311.5</v>
      </c>
      <c r="G52" s="8">
        <v>46044.0</v>
      </c>
      <c r="H52" s="2">
        <v>213.75</v>
      </c>
    </row>
    <row r="53">
      <c r="G53" s="8">
        <v>46046.0</v>
      </c>
      <c r="H53" s="2">
        <v>95.0</v>
      </c>
    </row>
    <row r="54">
      <c r="G54" s="8">
        <v>46048.0</v>
      </c>
      <c r="H54" s="2">
        <v>1330.0</v>
      </c>
    </row>
    <row r="55">
      <c r="G55" s="8">
        <v>46051.0</v>
      </c>
      <c r="H55" s="2">
        <v>46.75</v>
      </c>
    </row>
    <row r="56">
      <c r="G56" s="8">
        <v>46053.0</v>
      </c>
      <c r="H56" s="2">
        <v>807.5</v>
      </c>
    </row>
    <row r="57">
      <c r="G57" s="8">
        <v>46055.0</v>
      </c>
      <c r="H57" s="2">
        <v>191.25</v>
      </c>
    </row>
    <row r="58">
      <c r="G58" s="8">
        <v>46057.0</v>
      </c>
      <c r="H58" s="2">
        <v>320.0</v>
      </c>
    </row>
    <row r="59">
      <c r="G59" s="8">
        <v>46059.0</v>
      </c>
      <c r="H59" s="2">
        <v>190.0</v>
      </c>
    </row>
    <row r="60">
      <c r="G60" s="8">
        <v>46062.0</v>
      </c>
      <c r="H60" s="2">
        <v>180.5</v>
      </c>
    </row>
    <row r="61">
      <c r="G61" s="8">
        <v>46064.0</v>
      </c>
      <c r="H61" s="2">
        <v>1064.0</v>
      </c>
    </row>
    <row r="62">
      <c r="G62" s="8">
        <v>46066.0</v>
      </c>
      <c r="H62" s="2">
        <v>427.5</v>
      </c>
    </row>
    <row r="63">
      <c r="G63" s="8">
        <v>46068.0</v>
      </c>
      <c r="H63" s="2">
        <v>55.0</v>
      </c>
    </row>
    <row r="64">
      <c r="G64" s="8">
        <v>46070.0</v>
      </c>
      <c r="H64" s="2">
        <v>807.5</v>
      </c>
    </row>
    <row r="65">
      <c r="G65" s="8">
        <v>46073.0</v>
      </c>
      <c r="H65" s="2">
        <v>270.75</v>
      </c>
    </row>
    <row r="66">
      <c r="G66" s="8">
        <v>46075.0</v>
      </c>
      <c r="H66" s="2">
        <v>171.0</v>
      </c>
    </row>
    <row r="67">
      <c r="G67" s="8">
        <v>46077.0</v>
      </c>
      <c r="H67" s="2">
        <v>1600.0</v>
      </c>
    </row>
    <row r="68">
      <c r="G68" s="8">
        <v>46079.0</v>
      </c>
      <c r="H68" s="2">
        <v>1088.0</v>
      </c>
    </row>
    <row r="69">
      <c r="G69" s="8">
        <v>46081.0</v>
      </c>
      <c r="H69" s="2">
        <v>47.5</v>
      </c>
    </row>
    <row r="70">
      <c r="G70" s="8">
        <v>46083.0</v>
      </c>
      <c r="H70" s="2">
        <v>300.0</v>
      </c>
    </row>
    <row r="71">
      <c r="G71" s="8">
        <v>46086.0</v>
      </c>
      <c r="H71" s="2">
        <v>148.5</v>
      </c>
    </row>
    <row r="72">
      <c r="G72" s="8">
        <v>46088.0</v>
      </c>
      <c r="H72" s="2">
        <v>256.5</v>
      </c>
    </row>
    <row r="73">
      <c r="G73" s="8">
        <v>46090.0</v>
      </c>
      <c r="H73" s="2">
        <v>425.0</v>
      </c>
    </row>
    <row r="74">
      <c r="G74" s="8">
        <v>46092.0</v>
      </c>
      <c r="H74" s="2">
        <v>475.0</v>
      </c>
    </row>
    <row r="75">
      <c r="G75" s="8">
        <v>46094.0</v>
      </c>
      <c r="H75" s="2">
        <v>3230.0</v>
      </c>
    </row>
    <row r="76">
      <c r="G76" s="8">
        <v>46097.0</v>
      </c>
      <c r="H76" s="2">
        <v>47.5</v>
      </c>
    </row>
    <row r="77">
      <c r="G77" s="8">
        <v>46099.0</v>
      </c>
      <c r="H77" s="2">
        <v>191.25</v>
      </c>
    </row>
    <row r="78">
      <c r="G78" s="8">
        <v>46101.0</v>
      </c>
      <c r="H78" s="2">
        <v>500.0</v>
      </c>
    </row>
    <row r="79">
      <c r="G79" s="8">
        <v>46103.0</v>
      </c>
      <c r="H79" s="2">
        <v>25.0</v>
      </c>
    </row>
    <row r="80">
      <c r="G80" s="8">
        <v>46105.0</v>
      </c>
      <c r="H80" s="2">
        <v>1120.0</v>
      </c>
    </row>
    <row r="81">
      <c r="G81" s="8">
        <v>46108.0</v>
      </c>
      <c r="H81" s="2">
        <v>225.0</v>
      </c>
    </row>
    <row r="82">
      <c r="G82" s="8">
        <v>46110.0</v>
      </c>
      <c r="H82" s="2">
        <v>451.25</v>
      </c>
    </row>
    <row r="83">
      <c r="G83" s="8">
        <v>46112.0</v>
      </c>
      <c r="H83" s="2">
        <v>285.0</v>
      </c>
    </row>
    <row r="84">
      <c r="G84" s="8">
        <v>46114.0</v>
      </c>
      <c r="H84" s="2">
        <v>300.0</v>
      </c>
    </row>
    <row r="85">
      <c r="G85" s="8">
        <v>46116.0</v>
      </c>
      <c r="H85" s="2">
        <v>380.0</v>
      </c>
    </row>
    <row r="86">
      <c r="G86" s="8">
        <v>46119.0</v>
      </c>
      <c r="H86" s="2">
        <v>140.25</v>
      </c>
    </row>
    <row r="87">
      <c r="G87" s="8">
        <v>46121.0</v>
      </c>
      <c r="H87" s="2">
        <v>300.0</v>
      </c>
    </row>
    <row r="88">
      <c r="G88" s="8">
        <v>46123.0</v>
      </c>
      <c r="H88" s="2">
        <v>75.0</v>
      </c>
    </row>
    <row r="89">
      <c r="G89" s="8">
        <v>46125.0</v>
      </c>
      <c r="H89" s="2">
        <v>142.5</v>
      </c>
    </row>
    <row r="90">
      <c r="G90" s="8">
        <v>46127.0</v>
      </c>
      <c r="H90" s="2">
        <v>1500.0</v>
      </c>
    </row>
    <row r="91">
      <c r="G91" s="8">
        <v>46130.0</v>
      </c>
      <c r="H91" s="2">
        <v>285.0</v>
      </c>
    </row>
    <row r="92">
      <c r="G92" s="8">
        <v>46132.0</v>
      </c>
      <c r="H92" s="2">
        <v>220.0</v>
      </c>
    </row>
    <row r="93">
      <c r="G93" s="8">
        <v>46134.0</v>
      </c>
      <c r="H93" s="2">
        <v>220.0</v>
      </c>
    </row>
    <row r="94">
      <c r="G94" s="8">
        <v>46136.0</v>
      </c>
      <c r="H94" s="2">
        <v>252.0</v>
      </c>
    </row>
    <row r="95">
      <c r="G95" s="8">
        <v>46138.0</v>
      </c>
      <c r="H95" s="2">
        <v>25.0</v>
      </c>
    </row>
    <row r="96">
      <c r="G96" s="8">
        <v>46140.0</v>
      </c>
      <c r="H96" s="2">
        <v>576.0</v>
      </c>
    </row>
    <row r="97">
      <c r="G97" s="8">
        <v>46143.0</v>
      </c>
      <c r="H97" s="2">
        <v>304.0</v>
      </c>
    </row>
    <row r="98">
      <c r="G98" s="8">
        <v>46145.0</v>
      </c>
      <c r="H98" s="2">
        <v>225.0</v>
      </c>
    </row>
    <row r="99">
      <c r="G99" s="8">
        <v>46147.0</v>
      </c>
      <c r="H99" s="2">
        <v>1120.0</v>
      </c>
    </row>
    <row r="100">
      <c r="G100" s="8">
        <v>46149.0</v>
      </c>
      <c r="H100" s="2">
        <v>850.0</v>
      </c>
    </row>
    <row r="101">
      <c r="G101" s="8">
        <v>46151.0</v>
      </c>
      <c r="H101" s="2">
        <v>71.25</v>
      </c>
    </row>
    <row r="102">
      <c r="G102" s="8">
        <v>46154.0</v>
      </c>
      <c r="H102" s="2">
        <v>560.0</v>
      </c>
    </row>
    <row r="103">
      <c r="G103" s="8">
        <v>46156.0</v>
      </c>
      <c r="H103" s="2">
        <v>50.0</v>
      </c>
    </row>
    <row r="104">
      <c r="G104" s="8">
        <v>46158.0</v>
      </c>
      <c r="H104" s="2">
        <v>71.25</v>
      </c>
    </row>
    <row r="105">
      <c r="G105" s="8">
        <v>46160.0</v>
      </c>
      <c r="H105" s="2">
        <v>100.0</v>
      </c>
    </row>
    <row r="106">
      <c r="G106" s="8">
        <v>46162.0</v>
      </c>
      <c r="H106" s="2">
        <v>50.0</v>
      </c>
    </row>
    <row r="107">
      <c r="G107" s="8">
        <v>46165.0</v>
      </c>
      <c r="H107" s="2">
        <v>25.0</v>
      </c>
    </row>
    <row r="108">
      <c r="G108" s="8">
        <v>46167.0</v>
      </c>
      <c r="H108" s="2">
        <v>1120.0</v>
      </c>
    </row>
    <row r="109">
      <c r="G109" s="8">
        <v>46169.0</v>
      </c>
      <c r="H109" s="2">
        <v>1008.0</v>
      </c>
    </row>
    <row r="110">
      <c r="G110" s="8">
        <v>46171.0</v>
      </c>
      <c r="H110" s="2">
        <v>55.0</v>
      </c>
    </row>
    <row r="111">
      <c r="G111" s="8">
        <v>46173.0</v>
      </c>
      <c r="H111" s="2">
        <v>950.0</v>
      </c>
    </row>
    <row r="112">
      <c r="G112" s="8">
        <v>46176.0</v>
      </c>
      <c r="H112" s="2">
        <v>320.0</v>
      </c>
    </row>
    <row r="113">
      <c r="G113" s="8">
        <v>46178.0</v>
      </c>
      <c r="H113" s="2">
        <v>361.0</v>
      </c>
    </row>
    <row r="114">
      <c r="G114" s="8">
        <v>46180.0</v>
      </c>
      <c r="H114" s="2">
        <v>125.0</v>
      </c>
    </row>
    <row r="115">
      <c r="G115" s="8">
        <v>46182.0</v>
      </c>
      <c r="H115" s="2">
        <v>4250.0</v>
      </c>
    </row>
    <row r="116">
      <c r="G116" s="8">
        <v>46184.0</v>
      </c>
      <c r="H116" s="2">
        <v>242.25</v>
      </c>
    </row>
    <row r="117">
      <c r="G117" s="8">
        <v>46187.0</v>
      </c>
      <c r="H117" s="2">
        <v>252.0</v>
      </c>
    </row>
    <row r="118">
      <c r="G118" s="8">
        <v>46189.0</v>
      </c>
      <c r="H118" s="2">
        <v>765.0</v>
      </c>
    </row>
    <row r="119">
      <c r="G119" s="8">
        <v>46191.0</v>
      </c>
      <c r="H119" s="2">
        <v>2550.0</v>
      </c>
    </row>
    <row r="120">
      <c r="G120" s="8">
        <v>46193.0</v>
      </c>
      <c r="H120" s="2">
        <v>2550.0</v>
      </c>
    </row>
    <row r="121">
      <c r="G121" s="8">
        <v>46195.0</v>
      </c>
      <c r="H121" s="2">
        <v>165.0</v>
      </c>
    </row>
    <row r="122">
      <c r="G122" s="8">
        <v>46197.0</v>
      </c>
      <c r="H122" s="2">
        <v>1064.0</v>
      </c>
    </row>
    <row r="123">
      <c r="G123" s="8">
        <v>46200.0</v>
      </c>
      <c r="H123" s="2">
        <v>850.0</v>
      </c>
    </row>
    <row r="124">
      <c r="G124" s="8">
        <v>46202.0</v>
      </c>
      <c r="H124" s="2">
        <v>90.0</v>
      </c>
    </row>
    <row r="125">
      <c r="G125" s="8">
        <v>46204.0</v>
      </c>
      <c r="H125" s="2">
        <v>225.0</v>
      </c>
    </row>
    <row r="126">
      <c r="G126" s="8">
        <v>46206.0</v>
      </c>
      <c r="H126" s="2">
        <v>722.5</v>
      </c>
    </row>
    <row r="127">
      <c r="G127" s="8">
        <v>46208.0</v>
      </c>
      <c r="H127" s="2">
        <v>209.0</v>
      </c>
    </row>
    <row r="128">
      <c r="G128" s="8">
        <v>46211.0</v>
      </c>
      <c r="H128" s="2">
        <v>342.0</v>
      </c>
    </row>
    <row r="129">
      <c r="G129" s="8">
        <v>46213.0</v>
      </c>
      <c r="H129" s="2">
        <v>840.0</v>
      </c>
    </row>
    <row r="130">
      <c r="G130" s="8">
        <v>46215.0</v>
      </c>
      <c r="H130" s="2">
        <v>500.0</v>
      </c>
    </row>
    <row r="131">
      <c r="G131" s="8">
        <v>46217.0</v>
      </c>
      <c r="H131" s="2">
        <v>156.75</v>
      </c>
    </row>
    <row r="132">
      <c r="G132" s="8">
        <v>46219.0</v>
      </c>
      <c r="H132" s="2">
        <v>850.0</v>
      </c>
    </row>
    <row r="133">
      <c r="G133" s="8">
        <v>46222.0</v>
      </c>
      <c r="H133" s="2">
        <v>1400.0</v>
      </c>
    </row>
    <row r="134">
      <c r="G134" s="8">
        <v>46224.0</v>
      </c>
      <c r="H134" s="2">
        <v>127.5</v>
      </c>
    </row>
    <row r="135">
      <c r="G135" s="8">
        <v>46226.0</v>
      </c>
      <c r="H135" s="2">
        <v>1530.0</v>
      </c>
    </row>
    <row r="136">
      <c r="G136" s="8">
        <v>46228.0</v>
      </c>
      <c r="H136" s="2">
        <v>110.0</v>
      </c>
    </row>
    <row r="137">
      <c r="G137" s="8">
        <v>46230.0</v>
      </c>
      <c r="H137" s="2">
        <v>960.0</v>
      </c>
    </row>
    <row r="138">
      <c r="G138" s="8">
        <v>46233.0</v>
      </c>
      <c r="H138" s="2">
        <v>125.0</v>
      </c>
    </row>
    <row r="139">
      <c r="G139" s="8">
        <v>46235.0</v>
      </c>
      <c r="H139" s="2">
        <v>450.0</v>
      </c>
    </row>
    <row r="140">
      <c r="G140" s="8">
        <v>46237.0</v>
      </c>
      <c r="H140" s="2">
        <v>380.0</v>
      </c>
    </row>
    <row r="141">
      <c r="G141" s="8">
        <v>46239.0</v>
      </c>
      <c r="H141" s="2">
        <v>55.0</v>
      </c>
    </row>
    <row r="142">
      <c r="G142" s="8">
        <v>46241.0</v>
      </c>
      <c r="H142" s="2">
        <v>1120.0</v>
      </c>
    </row>
    <row r="143">
      <c r="G143" s="8">
        <v>46244.0</v>
      </c>
      <c r="H143" s="2">
        <v>500.0</v>
      </c>
    </row>
    <row r="144">
      <c r="G144" s="2" t="s">
        <v>97</v>
      </c>
      <c r="H144" s="2">
        <v>56311.5</v>
      </c>
    </row>
  </sheetData>
  <mergeCells count="4">
    <mergeCell ref="A1:Z1"/>
    <mergeCell ref="C7:D7"/>
    <mergeCell ref="A15:B15"/>
    <mergeCell ref="A24:B24"/>
  </mergeCells>
  <conditionalFormatting sqref="A3">
    <cfRule type="notContainsBlanks" dxfId="1" priority="1">
      <formula>LEN(TRIM(A3))&gt;0</formula>
    </cfRule>
  </conditionalFormatting>
  <conditionalFormatting sqref="B3">
    <cfRule type="notContainsBlanks" dxfId="1" priority="2">
      <formula>LEN(TRIM(B3))&gt;0</formula>
    </cfRule>
  </conditionalFormatting>
  <conditionalFormatting sqref="C3">
    <cfRule type="notContainsBlanks" dxfId="1" priority="3">
      <formula>LEN(TRIM(C3))&gt;0</formula>
    </cfRule>
  </conditionalFormatting>
  <conditionalFormatting sqref="D3">
    <cfRule type="notContainsBlanks" dxfId="1" priority="4">
      <formula>LEN(TRIM(D3))&gt;0</formula>
    </cfRule>
  </conditionalFormatting>
  <conditionalFormatting sqref="E3">
    <cfRule type="notContainsBlanks" dxfId="1" priority="5">
      <formula>LEN(TRIM(E3))&gt;0</formula>
    </cfRule>
  </conditionalFormatting>
  <conditionalFormatting sqref="A7">
    <cfRule type="notContainsBlanks" dxfId="1" priority="6">
      <formula>LEN(TRIM(A7))&gt;0</formula>
    </cfRule>
  </conditionalFormatting>
  <conditionalFormatting sqref="C7:D7">
    <cfRule type="notContainsBlanks" dxfId="1" priority="7">
      <formula>LEN(TRIM(C7))&gt;0</formula>
    </cfRule>
  </conditionalFormatting>
  <conditionalFormatting sqref="A15:B15">
    <cfRule type="notContainsBlanks" dxfId="1" priority="8">
      <formula>LEN(TRIM(A15))&gt;0</formula>
    </cfRule>
  </conditionalFormatting>
  <conditionalFormatting sqref="C15">
    <cfRule type="notContainsBlanks" dxfId="1" priority="9">
      <formula>LEN(TRIM(C15))&gt;0</formula>
    </cfRule>
  </conditionalFormatting>
  <conditionalFormatting sqref="D15">
    <cfRule type="notContainsBlanks" dxfId="1" priority="10">
      <formula>LEN(TRIM(D15))&gt;0</formula>
    </cfRule>
  </conditionalFormatting>
  <conditionalFormatting sqref="A24:B24">
    <cfRule type="notContainsBlanks" dxfId="1" priority="11">
      <formula>LEN(TRIM(A24))&gt;0</formula>
    </cfRule>
  </conditionalFormatting>
  <conditionalFormatting sqref="A1:Z1">
    <cfRule type="notContainsBlanks" dxfId="2" priority="12">
      <formula>LEN(TRIM(A1))&gt;0</formula>
    </cfRule>
  </conditionalFormatting>
  <conditionalFormatting sqref="A1:Z1">
    <cfRule type="notContainsBlanks" dxfId="3" priority="13">
      <formula>LEN(TRIM(A1))&gt;0</formula>
    </cfRule>
  </conditionalFormatting>
  <conditionalFormatting sqref="A8">
    <cfRule type="notContainsBlanks" dxfId="4" priority="14">
      <formula>LEN(TRIM(A8))&gt;0</formula>
    </cfRule>
  </conditionalFormatting>
  <conditionalFormatting sqref="B8">
    <cfRule type="notContainsBlanks" dxfId="4" priority="15">
      <formula>LEN(TRIM(B8))&gt;0</formula>
    </cfRule>
  </conditionalFormatting>
  <conditionalFormatting sqref="C8">
    <cfRule type="notContainsBlanks" dxfId="4" priority="16">
      <formula>LEN(TRIM(C8))&gt;0</formula>
    </cfRule>
  </conditionalFormatting>
  <conditionalFormatting sqref="D8">
    <cfRule type="notContainsBlanks" dxfId="4" priority="17">
      <formula>LEN(TRIM(D8))&gt;0</formula>
    </cfRule>
  </conditionalFormatting>
  <conditionalFormatting sqref="A16">
    <cfRule type="notContainsBlanks" dxfId="4" priority="18">
      <formula>LEN(TRIM(A16))&gt;0</formula>
    </cfRule>
  </conditionalFormatting>
  <conditionalFormatting sqref="B16">
    <cfRule type="notContainsBlanks" dxfId="4" priority="19">
      <formula>LEN(TRIM(B16))&gt;0</formula>
    </cfRule>
  </conditionalFormatting>
  <conditionalFormatting sqref="A25">
    <cfRule type="notContainsBlanks" dxfId="4" priority="20">
      <formula>LEN(TRIM(A25))&gt;0</formula>
    </cfRule>
  </conditionalFormatting>
  <conditionalFormatting sqref="B25">
    <cfRule type="notContainsBlanks" dxfId="4" priority="21">
      <formula>LEN(TRIM(B25))&gt;0</formula>
    </cfRule>
  </conditionalFormatting>
  <drawing r:id="rId2"/>
  <extLst>
    <ext uri="{3A4CF648-6AED-40f4-86FF-DC5316D8AED3}">
      <x14:slicerList>
        <x14:slicer r:id="rId3"/>
      </x14:slicerList>
    </ext>
  </extLst>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2026-08-15T13:37:28Z</dcterms:created>
  <dc:creator>openpyxl</dc:creator>
</cp:coreProperties>
</file>